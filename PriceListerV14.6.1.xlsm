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drew.tryon\Desktop\"/>
    </mc:Choice>
  </mc:AlternateContent>
  <xr:revisionPtr revIDLastSave="0" documentId="8_{4F9A896A-9D1B-4CC5-9273-6F8E26A543AC}" xr6:coauthVersionLast="44" xr6:coauthVersionMax="44" xr10:uidLastSave="{00000000-0000-0000-0000-000000000000}"/>
  <bookViews>
    <workbookView xWindow="28680" yWindow="-120" windowWidth="29040" windowHeight="15840" firstSheet="1" activeTab="1" xr2:uid="{00000000-000D-0000-FFFF-FFFF00000000}"/>
  </bookViews>
  <sheets>
    <sheet name="_ProdLineTable" sheetId="34" state="hidden" r:id="rId1"/>
    <sheet name="VendorData" sheetId="4" r:id="rId2"/>
    <sheet name="SageData" sheetId="35" r:id="rId3"/>
  </sheets>
  <functionGroups builtInGroupCount="19">
    <functionGroup name="Report Designer Add-in 1.2.0"/>
  </functionGroups>
  <definedNames>
    <definedName name="_xlnm._FilterDatabase" localSheetId="2" hidden="1">SageData!$A$1:$CC$2</definedName>
    <definedName name="_xlnm._FilterDatabase" localSheetId="1" hidden="1">VendorData!$A$2:$FB$2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P4" i="4" l="1"/>
  <c r="EP3" i="4" l="1"/>
  <c r="EO3" i="4"/>
  <c r="BT4" i="4" l="1"/>
  <c r="BX4" i="4" s="1"/>
  <c r="BU4" i="4"/>
  <c r="BV4" i="4"/>
  <c r="CE4" i="4"/>
  <c r="CJ4" i="4"/>
  <c r="CK4" i="4"/>
  <c r="CL4" i="4"/>
  <c r="CU4" i="4"/>
  <c r="CV4" i="4"/>
  <c r="DA4" i="4"/>
  <c r="DB4" i="4"/>
  <c r="DC4" i="4"/>
  <c r="EQ4" i="4" s="1"/>
  <c r="DD4" i="4"/>
  <c r="CS4" i="4" s="1"/>
  <c r="DE4" i="4"/>
  <c r="DS4" i="4" s="1"/>
  <c r="DL4" i="4"/>
  <c r="DU4" i="4"/>
  <c r="DV4" i="4"/>
  <c r="EA4" i="4"/>
  <c r="EB4" i="4"/>
  <c r="EI4" i="4"/>
  <c r="EJ4" i="4"/>
  <c r="EK4" i="4"/>
  <c r="EL4" i="4"/>
  <c r="ER4" i="4"/>
  <c r="ES4" i="4"/>
  <c r="ET4" i="4"/>
  <c r="EU4" i="4"/>
  <c r="EV4" i="4"/>
  <c r="EW4" i="4"/>
  <c r="EX4" i="4"/>
  <c r="EY4" i="4"/>
  <c r="EZ4" i="4"/>
  <c r="FA4" i="4"/>
  <c r="AT4" i="4"/>
  <c r="BL4" i="4"/>
  <c r="BK4" i="4"/>
  <c r="BJ4" i="4"/>
  <c r="BQ4" i="4"/>
  <c r="BC4" i="4"/>
  <c r="AZ4" i="4"/>
  <c r="AV4" i="4"/>
  <c r="BP4" i="4"/>
  <c r="BI4" i="4"/>
  <c r="AO4" i="4"/>
  <c r="BE4" i="4"/>
  <c r="BG4" i="4"/>
  <c r="BM4" i="4"/>
  <c r="AU4" i="4"/>
  <c r="AP4" i="4"/>
  <c r="AW4" i="4"/>
  <c r="BN4" i="4"/>
  <c r="AS4" i="4"/>
  <c r="BO4" i="4"/>
  <c r="AY4" i="4"/>
  <c r="BH4" i="4"/>
  <c r="BA4" i="4"/>
  <c r="BS4" i="4"/>
  <c r="AR4" i="4"/>
  <c r="AQ4" i="4"/>
  <c r="BF4" i="4"/>
  <c r="BD4" i="4"/>
  <c r="BR4" i="4"/>
  <c r="AX4" i="4"/>
  <c r="BB4" i="4"/>
  <c r="DM4" i="4" l="1"/>
  <c r="CD4" i="4"/>
  <c r="CC4" i="4"/>
  <c r="ED4" i="4"/>
  <c r="DK4" i="4"/>
  <c r="CB4" i="4"/>
  <c r="EC4" i="4"/>
  <c r="DJ4" i="4"/>
  <c r="CM4" i="4"/>
  <c r="BW4" i="4"/>
  <c r="CR4" i="4"/>
  <c r="EO4" i="4" s="1"/>
  <c r="EH4" i="4"/>
  <c r="DZ4" i="4"/>
  <c r="DQ4" i="4"/>
  <c r="DI4" i="4"/>
  <c r="CI4" i="4"/>
  <c r="CA4" i="4"/>
  <c r="CT4" i="4"/>
  <c r="EG4" i="4"/>
  <c r="DY4" i="4"/>
  <c r="DP4" i="4"/>
  <c r="DR4" i="4" s="1"/>
  <c r="DH4" i="4"/>
  <c r="CP4" i="4"/>
  <c r="CH4" i="4"/>
  <c r="BZ4" i="4"/>
  <c r="EN4" i="4"/>
  <c r="EF4" i="4"/>
  <c r="DX4" i="4"/>
  <c r="DO4" i="4"/>
  <c r="CQ4" i="4" s="1"/>
  <c r="CW4" i="4"/>
  <c r="CO4" i="4"/>
  <c r="CG4" i="4"/>
  <c r="BY4" i="4"/>
  <c r="EE4" i="4"/>
  <c r="DW4" i="4"/>
  <c r="DN4" i="4"/>
  <c r="DF4" i="4"/>
  <c r="DG4" i="4" s="1"/>
  <c r="CN4" i="4"/>
  <c r="CF4" i="4"/>
  <c r="BT3" i="4"/>
  <c r="EM4" i="4" l="1"/>
  <c r="CX4" i="4"/>
  <c r="AZ2" i="35"/>
  <c r="BA2" i="35"/>
  <c r="BB2" i="35"/>
  <c r="BC2" i="35"/>
  <c r="BD2" i="35"/>
  <c r="BE2" i="35"/>
  <c r="BF2" i="35"/>
  <c r="BG2" i="35"/>
  <c r="BH2" i="35"/>
  <c r="BI2" i="35"/>
  <c r="BJ2" i="35"/>
  <c r="BK2" i="35"/>
  <c r="BL2" i="35"/>
  <c r="BM2" i="35"/>
  <c r="BN2" i="35"/>
  <c r="BY2" i="35"/>
  <c r="BZ2" i="35"/>
  <c r="ET3" i="4"/>
  <c r="EU3" i="4"/>
  <c r="EV3" i="4"/>
  <c r="EW3" i="4"/>
  <c r="EX3" i="4"/>
  <c r="EY3" i="4"/>
  <c r="EZ3" i="4"/>
  <c r="FA3" i="4"/>
  <c r="BL3" i="4"/>
  <c r="AU2" i="35" l="1"/>
  <c r="BO2" i="35"/>
  <c r="BS2" i="35"/>
  <c r="AY2" i="35"/>
  <c r="BW2" i="35"/>
  <c r="AX2" i="35"/>
  <c r="BR2" i="35"/>
  <c r="BV2" i="35"/>
  <c r="AW2" i="35"/>
  <c r="BQ2" i="35"/>
  <c r="AV2" i="35"/>
  <c r="BP2" i="35"/>
  <c r="BX2" i="35"/>
  <c r="BU2" i="35"/>
  <c r="BT2" i="35"/>
  <c r="AP3" i="4"/>
  <c r="AU3" i="4"/>
  <c r="BB3" i="4"/>
  <c r="BN3" i="4"/>
  <c r="BA3" i="4"/>
  <c r="AX3" i="4"/>
  <c r="AS3" i="4"/>
  <c r="BM3" i="4"/>
  <c r="AW3" i="4"/>
  <c r="BE3" i="4"/>
  <c r="BR3" i="4"/>
  <c r="BD3" i="4"/>
  <c r="BO3" i="4"/>
  <c r="AV3" i="4"/>
  <c r="BJ3" i="4"/>
  <c r="AR3" i="4"/>
  <c r="AZ3" i="4"/>
  <c r="BF3" i="4"/>
  <c r="BP3" i="4"/>
  <c r="BC3" i="4"/>
  <c r="AO3" i="4"/>
  <c r="BS3" i="4"/>
  <c r="BK3" i="4"/>
  <c r="AY3" i="4"/>
  <c r="AQ3" i="4"/>
  <c r="BI3" i="4"/>
  <c r="AT3" i="4"/>
  <c r="BG3" i="4"/>
  <c r="BQ3" i="4"/>
  <c r="BH3" i="4"/>
  <c r="CB2" i="35" l="1"/>
  <c r="CA2" i="35"/>
  <c r="DI3" i="4"/>
  <c r="DJ3" i="4"/>
  <c r="DC3" i="4"/>
  <c r="DK3" i="4"/>
  <c r="DD3" i="4"/>
  <c r="DE3" i="4"/>
  <c r="CT3" i="4" s="1"/>
  <c r="DF3" i="4"/>
  <c r="DN3" i="4"/>
  <c r="DP3" i="4"/>
  <c r="DR3" i="4" s="1"/>
  <c r="DO3" i="4"/>
  <c r="BZ3" i="4"/>
  <c r="CP3" i="4"/>
  <c r="CA3" i="4"/>
  <c r="EB3" i="4" s="1"/>
  <c r="CI3" i="4"/>
  <c r="CJ3" i="4"/>
  <c r="EK3" i="4" s="1"/>
  <c r="BU3" i="4"/>
  <c r="DV3" i="4" s="1"/>
  <c r="CC3" i="4"/>
  <c r="BV3" i="4"/>
  <c r="CD3" i="4"/>
  <c r="EC3" i="4" s="1"/>
  <c r="CL3" i="4"/>
  <c r="CE3" i="4"/>
  <c r="CM3" i="4"/>
  <c r="BX3" i="4"/>
  <c r="CN3" i="4"/>
  <c r="BY3" i="4"/>
  <c r="CG3" i="4"/>
  <c r="EI3" i="4" s="1"/>
  <c r="EF3" i="4" l="1"/>
  <c r="DX3" i="4"/>
  <c r="AT2" i="35"/>
  <c r="DQ3" i="4"/>
  <c r="CX3" i="4" s="1"/>
  <c r="EE3" i="4"/>
  <c r="CO3" i="4"/>
  <c r="BW3" i="4"/>
  <c r="CB3" i="4"/>
  <c r="DH3" i="4"/>
  <c r="ER3" i="4"/>
  <c r="DW3" i="4"/>
  <c r="EL3" i="4"/>
  <c r="DZ3" i="4"/>
  <c r="ED3" i="4"/>
  <c r="EG3" i="4"/>
  <c r="DU3" i="4"/>
  <c r="CF3" i="4"/>
  <c r="CK3" i="4"/>
  <c r="CH3" i="4"/>
  <c r="EJ3" i="4" s="1"/>
  <c r="DL3" i="4"/>
  <c r="DY3" i="4"/>
  <c r="EH3" i="4"/>
  <c r="EA3" i="4"/>
  <c r="DG3" i="4"/>
  <c r="CS3" i="4"/>
  <c r="DM3" i="4"/>
  <c r="DS3" i="4"/>
  <c r="EM3" i="4" l="1"/>
  <c r="Q1" i="4"/>
  <c r="CR3" i="4" l="1"/>
  <c r="CU3" i="4"/>
  <c r="CV3" i="4"/>
  <c r="CW3" i="4" s="1"/>
  <c r="DA3" i="4" s="1"/>
  <c r="EN3" i="4"/>
  <c r="ES3" i="4"/>
  <c r="EQ3" i="4"/>
  <c r="Y1" i="4"/>
  <c r="DB3" i="4" l="1"/>
  <c r="CQ3" i="4" s="1"/>
  <c r="V1" i="4" l="1"/>
</calcChain>
</file>

<file path=xl/sharedStrings.xml><?xml version="1.0" encoding="utf-8"?>
<sst xmlns="http://schemas.openxmlformats.org/spreadsheetml/2006/main" count="787" uniqueCount="715">
  <si>
    <t>VendorAliasItemNo</t>
  </si>
  <si>
    <t>ItemCode</t>
  </si>
  <si>
    <t>ItemCodeDesc</t>
  </si>
  <si>
    <t>ProductLine</t>
  </si>
  <si>
    <t>ProductType</t>
  </si>
  <si>
    <t>StandardUnitCost</t>
  </si>
  <si>
    <t>StandardUnitPrice</t>
  </si>
  <si>
    <t>SuggestedRetailPrice</t>
  </si>
  <si>
    <t>UDF_MAP_PRICE</t>
  </si>
  <si>
    <t>UDF_CATALOG_NO</t>
  </si>
  <si>
    <t>UDF_VENDOR_PRICE_DATE</t>
  </si>
  <si>
    <t>UDF_UPC</t>
  </si>
  <si>
    <t>UDF_COUNTRY_OF_ORIGIN_TEMP</t>
  </si>
  <si>
    <t>UDF_ECCN</t>
  </si>
  <si>
    <t>UDF_SCHEDULE_B_NUMBER</t>
  </si>
  <si>
    <t>ShipWeight</t>
  </si>
  <si>
    <t>UDF_GTIN14</t>
  </si>
  <si>
    <t>UDF_PRODUCT_NAME_100</t>
  </si>
  <si>
    <t>Vendor Item Code</t>
  </si>
  <si>
    <t>UPC</t>
  </si>
  <si>
    <t>GTIN14</t>
  </si>
  <si>
    <t>Weight</t>
  </si>
  <si>
    <t>Schedule B</t>
  </si>
  <si>
    <t>UDF_PACK_QUANTITY</t>
  </si>
  <si>
    <t>UPC/UPC</t>
  </si>
  <si>
    <t>VendorItem#/Catalog#</t>
  </si>
  <si>
    <t>VendorItem#/Vendor Item Code</t>
  </si>
  <si>
    <t>VendorItem#/UPC</t>
  </si>
  <si>
    <t>VendorItem#/GTIN14</t>
  </si>
  <si>
    <t>Catalog#/Vendor Item Code</t>
  </si>
  <si>
    <t>Catalog#/Catalog#</t>
  </si>
  <si>
    <t>Catalog#/UPC</t>
  </si>
  <si>
    <t>Catalog#/GTIN14</t>
  </si>
  <si>
    <t>UPC/Vendor Item Code</t>
  </si>
  <si>
    <t>UPC/Catalog#</t>
  </si>
  <si>
    <t>UPC/GTIN14</t>
  </si>
  <si>
    <t>GTIN14/Vendor Item Code</t>
  </si>
  <si>
    <t>GTIN14/Catalog#</t>
  </si>
  <si>
    <t>GTIN14/UPC</t>
  </si>
  <si>
    <t>MAP Margin</t>
  </si>
  <si>
    <t>MSRP Margin</t>
  </si>
  <si>
    <t>Cost Change</t>
  </si>
  <si>
    <t>Pricing Suggestions</t>
  </si>
  <si>
    <t>Maint</t>
  </si>
  <si>
    <t>Notes</t>
  </si>
  <si>
    <t>GTIN14/GTIN14</t>
  </si>
  <si>
    <t>Sage List</t>
  </si>
  <si>
    <t>Sage Price</t>
  </si>
  <si>
    <t>Sage MAP</t>
  </si>
  <si>
    <t>Sage Cost</t>
  </si>
  <si>
    <t>Sage Weight</t>
  </si>
  <si>
    <t>Sage Country</t>
  </si>
  <si>
    <t>Sage Schedule B</t>
  </si>
  <si>
    <t>Disco via Vendor</t>
  </si>
  <si>
    <t>Catalog Update</t>
  </si>
  <si>
    <t>UPC Update</t>
  </si>
  <si>
    <t>GTIN14 Update</t>
  </si>
  <si>
    <t>Weight Update</t>
  </si>
  <si>
    <t>Country Update</t>
  </si>
  <si>
    <t>Schedule B Update</t>
  </si>
  <si>
    <t>Pack Update</t>
  </si>
  <si>
    <t>Catalog</t>
  </si>
  <si>
    <t>Pack</t>
  </si>
  <si>
    <t>MAP Change</t>
  </si>
  <si>
    <t>Model</t>
  </si>
  <si>
    <t>VendorItem#/Model</t>
  </si>
  <si>
    <t>Catalog#/Model</t>
  </si>
  <si>
    <t>UPC/Model</t>
  </si>
  <si>
    <t>GTIN14/Model</t>
  </si>
  <si>
    <t>Model/Vendor Item Code</t>
  </si>
  <si>
    <t>Model/Catalog#</t>
  </si>
  <si>
    <t>Model/UPC</t>
  </si>
  <si>
    <t>Model/GTIN14</t>
  </si>
  <si>
    <t>Model/Model</t>
  </si>
  <si>
    <t>Margin</t>
  </si>
  <si>
    <t>Prop. Price</t>
  </si>
  <si>
    <t>for pricelist</t>
  </si>
  <si>
    <t>Sage Pack</t>
  </si>
  <si>
    <t>Unique?</t>
  </si>
  <si>
    <t>CSCatalog</t>
  </si>
  <si>
    <t>CSUPC</t>
  </si>
  <si>
    <t>CSGTIN14</t>
  </si>
  <si>
    <t>CSModel</t>
  </si>
  <si>
    <t>CSDescription</t>
  </si>
  <si>
    <t>Discount Change</t>
  </si>
  <si>
    <t>CSReplacementPart</t>
  </si>
  <si>
    <t>Sage Replacement</t>
  </si>
  <si>
    <t>UDF_ON_CLEARANCE</t>
  </si>
  <si>
    <t>Replacement Update</t>
  </si>
  <si>
    <t>Sage Clearance</t>
  </si>
  <si>
    <t>Sage Description</t>
  </si>
  <si>
    <t>Vendor Item Code Update</t>
  </si>
  <si>
    <t>Replacement</t>
  </si>
  <si>
    <t>Turn lookup on/off ------&gt;</t>
  </si>
  <si>
    <t>Item Code Override</t>
  </si>
  <si>
    <t>for priceworkbook</t>
  </si>
  <si>
    <t>Sage Vendor Item Code</t>
  </si>
  <si>
    <t>Sage Catalog</t>
  </si>
  <si>
    <t>Sage UPC</t>
  </si>
  <si>
    <t>Sage GTIN14</t>
  </si>
  <si>
    <t>Sage Model</t>
  </si>
  <si>
    <t>Model Update</t>
  </si>
  <si>
    <t>ECCN</t>
  </si>
  <si>
    <t>Length</t>
  </si>
  <si>
    <t>Width</t>
  </si>
  <si>
    <t>Height</t>
  </si>
  <si>
    <t>MOQ</t>
  </si>
  <si>
    <t>NSN</t>
  </si>
  <si>
    <t>Product Line</t>
  </si>
  <si>
    <t>MSRP Change</t>
  </si>
  <si>
    <t>Dropship</t>
  </si>
  <si>
    <t>Breakpoint Discounts</t>
  </si>
  <si>
    <t>Sage Discount</t>
  </si>
  <si>
    <t>Clean for Lookups</t>
  </si>
  <si>
    <t>Sage Pricing Data</t>
  </si>
  <si>
    <t>Sage Product Data</t>
  </si>
  <si>
    <t>Matching Formula</t>
  </si>
  <si>
    <t>For VBA</t>
  </si>
  <si>
    <t>Vendor Price Calcs</t>
  </si>
  <si>
    <t>UDF_WEB_DISPLAY_MODEL_NUMBER</t>
  </si>
  <si>
    <t>UDF_REPLACEMENT_ITEM</t>
  </si>
  <si>
    <t>UDF_NATIONAL_STOCK_NUMBER</t>
  </si>
  <si>
    <t>MinimumOrderQty</t>
  </si>
  <si>
    <t>LastUnitCost</t>
  </si>
  <si>
    <t>LastReceiptQuantity</t>
  </si>
  <si>
    <t>Price Override</t>
  </si>
  <si>
    <t>ECCN Update</t>
  </si>
  <si>
    <t>NSN Update</t>
  </si>
  <si>
    <t>MOQ Update</t>
  </si>
  <si>
    <t>Dropship Update</t>
  </si>
  <si>
    <t>Product Line Update</t>
  </si>
  <si>
    <t>Sage ECCN</t>
  </si>
  <si>
    <t>Sage MOQ</t>
  </si>
  <si>
    <t>Sage Dropship</t>
  </si>
  <si>
    <t>Sage NSN</t>
  </si>
  <si>
    <t>UDF_DRP_SHP_ONLY</t>
  </si>
  <si>
    <t>LastReceiptDate</t>
  </si>
  <si>
    <t>Vendor Product Data</t>
  </si>
  <si>
    <t>Revive</t>
  </si>
  <si>
    <t>No</t>
  </si>
  <si>
    <t>LastSoldDate</t>
  </si>
  <si>
    <t>Needed</t>
  </si>
  <si>
    <t>UDF_BRAND</t>
  </si>
  <si>
    <t>Sage Brand</t>
  </si>
  <si>
    <t>Sage Vendor Date</t>
  </si>
  <si>
    <t>Sage Last Receipt Date</t>
  </si>
  <si>
    <t>Sage Last Receipt Quantity</t>
  </si>
  <si>
    <t>QuantityOnHand</t>
  </si>
  <si>
    <t>Sage LastSaleDate</t>
  </si>
  <si>
    <t>Sage MAPMargin</t>
  </si>
  <si>
    <t>Sage PriceMargin</t>
  </si>
  <si>
    <t>Sage QuanityOnHand</t>
  </si>
  <si>
    <t>ReorderPointQty</t>
  </si>
  <si>
    <t>NVIA</t>
  </si>
  <si>
    <t>Sage Reorder Point</t>
  </si>
  <si>
    <t>Price List Date</t>
  </si>
  <si>
    <t>BPQTY1</t>
  </si>
  <si>
    <t>BPDIS1</t>
  </si>
  <si>
    <t>BPQTY2</t>
  </si>
  <si>
    <t>BPDIS2</t>
  </si>
  <si>
    <t>BPQTY3</t>
  </si>
  <si>
    <t>BPDIS3</t>
  </si>
  <si>
    <t>BPQTY4</t>
  </si>
  <si>
    <t>BPDIS4</t>
  </si>
  <si>
    <t>BPQTY5</t>
  </si>
  <si>
    <t>BPDIS5</t>
  </si>
  <si>
    <t>ProductLineDescription</t>
  </si>
  <si>
    <t>PrimaryVendorNo</t>
  </si>
  <si>
    <t>DDEP</t>
  </si>
  <si>
    <t>Depot Deal Internal Mixed</t>
  </si>
  <si>
    <t>DDF1</t>
  </si>
  <si>
    <t>Depot Deal Internal Fluke</t>
  </si>
  <si>
    <t>DDF2</t>
  </si>
  <si>
    <t>Depot Deal Internal Flir</t>
  </si>
  <si>
    <t>DDI1</t>
  </si>
  <si>
    <t>Depot Deal Internal Ideal</t>
  </si>
  <si>
    <t>N3M</t>
  </si>
  <si>
    <t>3M</t>
  </si>
  <si>
    <t>3M002</t>
  </si>
  <si>
    <t>NACC</t>
  </si>
  <si>
    <t>Accuenergy</t>
  </si>
  <si>
    <t>ACCU002</t>
  </si>
  <si>
    <t>NACR</t>
  </si>
  <si>
    <t>ACR Systems</t>
  </si>
  <si>
    <t>ACRS001</t>
  </si>
  <si>
    <t>NADD</t>
  </si>
  <si>
    <t>Additel</t>
  </si>
  <si>
    <t>ADDI001</t>
  </si>
  <si>
    <t>NADF</t>
  </si>
  <si>
    <t>Advanced Fiber</t>
  </si>
  <si>
    <t>ADVA004</t>
  </si>
  <si>
    <t>NAEM</t>
  </si>
  <si>
    <t>AEMC</t>
  </si>
  <si>
    <t>AEMC001</t>
  </si>
  <si>
    <t>NAGI</t>
  </si>
  <si>
    <t>Agilent Technologies</t>
  </si>
  <si>
    <t>NAGN</t>
  </si>
  <si>
    <t>Aginova</t>
  </si>
  <si>
    <t>AGIN001</t>
  </si>
  <si>
    <t>NALT</t>
  </si>
  <si>
    <t>Altek</t>
  </si>
  <si>
    <t>TRAN002</t>
  </si>
  <si>
    <t>NAME</t>
  </si>
  <si>
    <t>Ametek</t>
  </si>
  <si>
    <t>NAMP</t>
  </si>
  <si>
    <t>Amprobe</t>
  </si>
  <si>
    <t>FLUK001</t>
  </si>
  <si>
    <t>NAPP</t>
  </si>
  <si>
    <t>Applied Innovative Tech</t>
  </si>
  <si>
    <t>APPL002</t>
  </si>
  <si>
    <t>NARM</t>
  </si>
  <si>
    <t>Armada Technolgies</t>
  </si>
  <si>
    <t>ARMA001</t>
  </si>
  <si>
    <t>NATR</t>
  </si>
  <si>
    <t>Atrix</t>
  </si>
  <si>
    <t>ATRI001</t>
  </si>
  <si>
    <t>NAUT</t>
  </si>
  <si>
    <t>Auto Airflow Balancing</t>
  </si>
  <si>
    <t>AUTO003</t>
  </si>
  <si>
    <t>NAVC</t>
  </si>
  <si>
    <t>AVCOM</t>
  </si>
  <si>
    <t>AVCO001</t>
  </si>
  <si>
    <t>NAVE</t>
  </si>
  <si>
    <t>AVEX</t>
  </si>
  <si>
    <t>AVEX001</t>
  </si>
  <si>
    <t>NAVN</t>
  </si>
  <si>
    <t>Aven</t>
  </si>
  <si>
    <t>AVEN001</t>
  </si>
  <si>
    <t>NAVT</t>
  </si>
  <si>
    <t>AV Toolbox</t>
  </si>
  <si>
    <t>TVON001</t>
  </si>
  <si>
    <t>NBEC</t>
  </si>
  <si>
    <t>Beckman Coulter</t>
  </si>
  <si>
    <t>BECK001</t>
  </si>
  <si>
    <t>NBEN</t>
  </si>
  <si>
    <t>Benchmark Scientific</t>
  </si>
  <si>
    <t>BENC001</t>
  </si>
  <si>
    <t>NBES</t>
  </si>
  <si>
    <t>BESANTEK</t>
  </si>
  <si>
    <t>BESA001</t>
  </si>
  <si>
    <t>NBK</t>
  </si>
  <si>
    <t>B+K Precision</t>
  </si>
  <si>
    <t>BKPR001</t>
  </si>
  <si>
    <t>NBYT</t>
  </si>
  <si>
    <t>ByteBrothers</t>
  </si>
  <si>
    <t>TRIP001</t>
  </si>
  <si>
    <t>NCAL</t>
  </si>
  <si>
    <t>CalTest</t>
  </si>
  <si>
    <t>CALT002</t>
  </si>
  <si>
    <t>NCAU</t>
  </si>
  <si>
    <t>Caulkmaster</t>
  </si>
  <si>
    <t>COOP001</t>
  </si>
  <si>
    <t>NCEM</t>
  </si>
  <si>
    <t>Cementex</t>
  </si>
  <si>
    <t>CEME001</t>
  </si>
  <si>
    <t>NCOA</t>
  </si>
  <si>
    <t>Coast</t>
  </si>
  <si>
    <t>COAS001</t>
  </si>
  <si>
    <t>NCRE</t>
  </si>
  <si>
    <t>Crescent</t>
  </si>
  <si>
    <t>NDEL</t>
  </si>
  <si>
    <t>Delmhorst Instrument</t>
  </si>
  <si>
    <t>DELM001</t>
  </si>
  <si>
    <t>NDES</t>
  </si>
  <si>
    <t>Desco</t>
  </si>
  <si>
    <t>DESC001</t>
  </si>
  <si>
    <t>NDIG</t>
  </si>
  <si>
    <t>DIGI-SENSE</t>
  </si>
  <si>
    <t>OAKT001</t>
  </si>
  <si>
    <t>NDK</t>
  </si>
  <si>
    <t>DK Technologies</t>
  </si>
  <si>
    <t>DKAU001</t>
  </si>
  <si>
    <t>NDRU</t>
  </si>
  <si>
    <t>GE Druck</t>
  </si>
  <si>
    <t>GENE001</t>
  </si>
  <si>
    <t>NDWY</t>
  </si>
  <si>
    <t>Dwyer</t>
  </si>
  <si>
    <t>DWYE001</t>
  </si>
  <si>
    <t>NEAG</t>
  </si>
  <si>
    <t>Eagle Eye</t>
  </si>
  <si>
    <t>EAGL003</t>
  </si>
  <si>
    <t>NECG</t>
  </si>
  <si>
    <t>ECG</t>
  </si>
  <si>
    <t>NTEE001</t>
  </si>
  <si>
    <t>NECL</t>
  </si>
  <si>
    <t>Eclipse</t>
  </si>
  <si>
    <t>ECLI001</t>
  </si>
  <si>
    <t>NEDG</t>
  </si>
  <si>
    <t>EdgeTech</t>
  </si>
  <si>
    <t>EDGE001</t>
  </si>
  <si>
    <t>NEDS</t>
  </si>
  <si>
    <t>EDSYN</t>
  </si>
  <si>
    <t>EDSY001</t>
  </si>
  <si>
    <t>NELN</t>
  </si>
  <si>
    <t>Elenco Electronics</t>
  </si>
  <si>
    <t>ELEN001</t>
  </si>
  <si>
    <t>NEME</t>
  </si>
  <si>
    <t>Emerson Process</t>
  </si>
  <si>
    <t>NEMO</t>
  </si>
  <si>
    <t>EMon</t>
  </si>
  <si>
    <t>EMON001</t>
  </si>
  <si>
    <t>NERE</t>
  </si>
  <si>
    <t>Erem</t>
  </si>
  <si>
    <t>NETS</t>
  </si>
  <si>
    <t>ETS Lindgren</t>
  </si>
  <si>
    <t>ETSL001</t>
  </si>
  <si>
    <t>NEXT</t>
  </si>
  <si>
    <t>Extech</t>
  </si>
  <si>
    <t>EXTE001</t>
  </si>
  <si>
    <t>NEZ</t>
  </si>
  <si>
    <t>EZ Digital</t>
  </si>
  <si>
    <t>UNIS001</t>
  </si>
  <si>
    <t>NFIE</t>
  </si>
  <si>
    <t>Fieldpiece</t>
  </si>
  <si>
    <t>FIEL001</t>
  </si>
  <si>
    <t>NFIS</t>
  </si>
  <si>
    <t>Fisher Labs</t>
  </si>
  <si>
    <t>FISH002</t>
  </si>
  <si>
    <t>NFIT</t>
  </si>
  <si>
    <t>Fitel</t>
  </si>
  <si>
    <t>FURU001</t>
  </si>
  <si>
    <t>NFLI</t>
  </si>
  <si>
    <t>FLIR</t>
  </si>
  <si>
    <t>NFLN</t>
  </si>
  <si>
    <t>Fluke Networks</t>
  </si>
  <si>
    <t>FLUK002</t>
  </si>
  <si>
    <t>NFLO</t>
  </si>
  <si>
    <t>Flo Dynamics</t>
  </si>
  <si>
    <t>FLOD001</t>
  </si>
  <si>
    <t>NFLP</t>
  </si>
  <si>
    <t>Flir Personal Vision Sys</t>
  </si>
  <si>
    <t>FLIR001</t>
  </si>
  <si>
    <t>NFLR</t>
  </si>
  <si>
    <t>Fluke Factory Refurbished</t>
  </si>
  <si>
    <t>NFLU</t>
  </si>
  <si>
    <t>Fluke</t>
  </si>
  <si>
    <t>NGAL</t>
  </si>
  <si>
    <t>Gale Corporation</t>
  </si>
  <si>
    <t>GALE001</t>
  </si>
  <si>
    <t>NGEN</t>
  </si>
  <si>
    <t>General Tools</t>
  </si>
  <si>
    <t>GENE003</t>
  </si>
  <si>
    <t>NGLO</t>
  </si>
  <si>
    <t>Global Specialties</t>
  </si>
  <si>
    <t>GLOB008</t>
  </si>
  <si>
    <t>NGNE</t>
  </si>
  <si>
    <t>General Eastern</t>
  </si>
  <si>
    <t>AMPH001</t>
  </si>
  <si>
    <t>NGRA</t>
  </si>
  <si>
    <t>Graphtec</t>
  </si>
  <si>
    <t>GRAP001</t>
  </si>
  <si>
    <t>NHAC</t>
  </si>
  <si>
    <t>HACH</t>
  </si>
  <si>
    <t>NHAK</t>
  </si>
  <si>
    <t>Hakko</t>
  </si>
  <si>
    <t>HAKK001</t>
  </si>
  <si>
    <t>NHAM</t>
  </si>
  <si>
    <t>Hameg</t>
  </si>
  <si>
    <t>SENC001</t>
  </si>
  <si>
    <t>NHAN</t>
  </si>
  <si>
    <t>Hantek</t>
  </si>
  <si>
    <t>HANT001</t>
  </si>
  <si>
    <t>NHAR</t>
  </si>
  <si>
    <t>Fluke Calibration</t>
  </si>
  <si>
    <t>NHIO</t>
  </si>
  <si>
    <t>Hioki</t>
  </si>
  <si>
    <t>HIOK001</t>
  </si>
  <si>
    <t>NHMD</t>
  </si>
  <si>
    <t>HM Digital</t>
  </si>
  <si>
    <t>HMDI001</t>
  </si>
  <si>
    <t>NHML</t>
  </si>
  <si>
    <t>Hamlet Video</t>
  </si>
  <si>
    <t>NHNA</t>
  </si>
  <si>
    <t>HANNA instruments</t>
  </si>
  <si>
    <t>HANN001</t>
  </si>
  <si>
    <t>NIDE</t>
  </si>
  <si>
    <t>Ideal</t>
  </si>
  <si>
    <t>IDEA001</t>
  </si>
  <si>
    <t>NIDN</t>
  </si>
  <si>
    <t>IDEAL Networks</t>
  </si>
  <si>
    <t>NINN</t>
  </si>
  <si>
    <t>Innoventions</t>
  </si>
  <si>
    <t>INNO001</t>
  </si>
  <si>
    <t>NINS</t>
  </si>
  <si>
    <t>Instek</t>
  </si>
  <si>
    <t>INST001</t>
  </si>
  <si>
    <t>NJDS</t>
  </si>
  <si>
    <t>JDSU</t>
  </si>
  <si>
    <t>JDSU001</t>
  </si>
  <si>
    <t>NKAL</t>
  </si>
  <si>
    <t>Kaltman</t>
  </si>
  <si>
    <t>KALT001</t>
  </si>
  <si>
    <t>NKEI</t>
  </si>
  <si>
    <t>Keithley Instruments</t>
  </si>
  <si>
    <t>TEKT001</t>
  </si>
  <si>
    <t>NKEN</t>
  </si>
  <si>
    <t>Kenwood</t>
  </si>
  <si>
    <t>PROI001</t>
  </si>
  <si>
    <t>NKEP</t>
  </si>
  <si>
    <t>Kessler-Ellis Products</t>
  </si>
  <si>
    <t>KESS001</t>
  </si>
  <si>
    <t>NKES</t>
  </si>
  <si>
    <t>Kester</t>
  </si>
  <si>
    <t>NKLE</t>
  </si>
  <si>
    <t>Klein Tools</t>
  </si>
  <si>
    <t>KLEI001</t>
  </si>
  <si>
    <t>NLAM</t>
  </si>
  <si>
    <t>LaMotte Company</t>
  </si>
  <si>
    <t>LAMO001</t>
  </si>
  <si>
    <t>NLAS</t>
  </si>
  <si>
    <t>Lascar Electronics</t>
  </si>
  <si>
    <t>LASC001</t>
  </si>
  <si>
    <t>NLEA</t>
  </si>
  <si>
    <t>Leader Instruments</t>
  </si>
  <si>
    <t>LEAD001</t>
  </si>
  <si>
    <t>NLEC</t>
  </si>
  <si>
    <t>LeCroy</t>
  </si>
  <si>
    <t>LECR001</t>
  </si>
  <si>
    <t>NLPT</t>
  </si>
  <si>
    <t>LP Technologies</t>
  </si>
  <si>
    <t>LPTE001</t>
  </si>
  <si>
    <t>NLUF</t>
  </si>
  <si>
    <t>Lufkin</t>
  </si>
  <si>
    <t>NLUX</t>
  </si>
  <si>
    <t>Luxo</t>
  </si>
  <si>
    <t>LUXO001</t>
  </si>
  <si>
    <t>NMAG</t>
  </si>
  <si>
    <t>Magnum Pro</t>
  </si>
  <si>
    <t>EAST003</t>
  </si>
  <si>
    <t>NMAS</t>
  </si>
  <si>
    <t>Mastercool</t>
  </si>
  <si>
    <t>MAST001</t>
  </si>
  <si>
    <t>NMEG</t>
  </si>
  <si>
    <t>Megger</t>
  </si>
  <si>
    <t>MEGG001</t>
  </si>
  <si>
    <t>NMER</t>
  </si>
  <si>
    <t>Meriam</t>
  </si>
  <si>
    <t>MERI001</t>
  </si>
  <si>
    <t>NMET</t>
  </si>
  <si>
    <t>METCAL</t>
  </si>
  <si>
    <t>OKIN001</t>
  </si>
  <si>
    <t>NMGA</t>
  </si>
  <si>
    <t>Megapro</t>
  </si>
  <si>
    <t>MEGA001</t>
  </si>
  <si>
    <t>NMIL</t>
  </si>
  <si>
    <t>Milwaukee</t>
  </si>
  <si>
    <t>MILW001</t>
  </si>
  <si>
    <t>NMTC</t>
  </si>
  <si>
    <t>MTC Bio</t>
  </si>
  <si>
    <t>MTCB001</t>
  </si>
  <si>
    <t>NNET</t>
  </si>
  <si>
    <t>NetScout</t>
  </si>
  <si>
    <t>INGR001</t>
  </si>
  <si>
    <t>NNIC</t>
  </si>
  <si>
    <t>Nicholson</t>
  </si>
  <si>
    <t>NOAK</t>
  </si>
  <si>
    <t>Oakton</t>
  </si>
  <si>
    <t>NOCW</t>
  </si>
  <si>
    <t>O.C. White</t>
  </si>
  <si>
    <t>OCWH001</t>
  </si>
  <si>
    <t>NOHA</t>
  </si>
  <si>
    <t>Ohaus</t>
  </si>
  <si>
    <t>OHAU001</t>
  </si>
  <si>
    <t>NONS</t>
  </si>
  <si>
    <t>Onset</t>
  </si>
  <si>
    <t>ONSE002</t>
  </si>
  <si>
    <t>NOSC</t>
  </si>
  <si>
    <t>Oscium</t>
  </si>
  <si>
    <t>OSCI002</t>
  </si>
  <si>
    <t>NOTH</t>
  </si>
  <si>
    <t>Other</t>
  </si>
  <si>
    <t>NOWO</t>
  </si>
  <si>
    <t>Owon</t>
  </si>
  <si>
    <t>OWON001</t>
  </si>
  <si>
    <t>NPEL</t>
  </si>
  <si>
    <t>Pelican Products</t>
  </si>
  <si>
    <t>PELI001</t>
  </si>
  <si>
    <t>NPHA</t>
  </si>
  <si>
    <t>Phabrix</t>
  </si>
  <si>
    <t>AUDI003</t>
  </si>
  <si>
    <t>NPHS</t>
  </si>
  <si>
    <t>Phase II</t>
  </si>
  <si>
    <t>PHAS001</t>
  </si>
  <si>
    <t>NPIE</t>
  </si>
  <si>
    <t>Practical Instrument</t>
  </si>
  <si>
    <t>PRAC001</t>
  </si>
  <si>
    <t>NPLA</t>
  </si>
  <si>
    <t>Platinum Tools</t>
  </si>
  <si>
    <t>PLAT001</t>
  </si>
  <si>
    <t>NPLU</t>
  </si>
  <si>
    <t>Plumb</t>
  </si>
  <si>
    <t>NPOM</t>
  </si>
  <si>
    <t>Pomona</t>
  </si>
  <si>
    <t>NPOW</t>
  </si>
  <si>
    <t>PowerSight</t>
  </si>
  <si>
    <t>POWE002</t>
  </si>
  <si>
    <t>NPRA</t>
  </si>
  <si>
    <t>Pratt-Read Tools</t>
  </si>
  <si>
    <t>PRAT001</t>
  </si>
  <si>
    <t>NPRB</t>
  </si>
  <si>
    <t>PROBETRONIX</t>
  </si>
  <si>
    <t>PROB001</t>
  </si>
  <si>
    <t>NPRI</t>
  </si>
  <si>
    <t>Protimeter</t>
  </si>
  <si>
    <t>NPRL</t>
  </si>
  <si>
    <t>ProLine</t>
  </si>
  <si>
    <t>PROL001</t>
  </si>
  <si>
    <t>NPRM</t>
  </si>
  <si>
    <t>PROMAX</t>
  </si>
  <si>
    <t>PROM001</t>
  </si>
  <si>
    <t>NPRO</t>
  </si>
  <si>
    <t>ProVision</t>
  </si>
  <si>
    <t>NPRT</t>
  </si>
  <si>
    <t>PROTEK</t>
  </si>
  <si>
    <t>GSIN001</t>
  </si>
  <si>
    <t>NPSI</t>
  </si>
  <si>
    <t>PSIBER</t>
  </si>
  <si>
    <t>PSIB001</t>
  </si>
  <si>
    <t>NQUA</t>
  </si>
  <si>
    <t>Quadtech</t>
  </si>
  <si>
    <t>CHRO001</t>
  </si>
  <si>
    <t>NR &amp;</t>
  </si>
  <si>
    <t>Rohde &amp; Schwarz</t>
  </si>
  <si>
    <t>ROHD001</t>
  </si>
  <si>
    <t>NRAL</t>
  </si>
  <si>
    <t>Ralston Instruments</t>
  </si>
  <si>
    <t>NRAM</t>
  </si>
  <si>
    <t>RAMSEY</t>
  </si>
  <si>
    <t>RAMS001</t>
  </si>
  <si>
    <t>NRID</t>
  </si>
  <si>
    <t>Ridgid</t>
  </si>
  <si>
    <t>RIDG002</t>
  </si>
  <si>
    <t>NROB</t>
  </si>
  <si>
    <t>Robinair</t>
  </si>
  <si>
    <t>SPXC001</t>
  </si>
  <si>
    <t>NSAU</t>
  </si>
  <si>
    <t>Sauermann</t>
  </si>
  <si>
    <t>SAUR001</t>
  </si>
  <si>
    <t>NSBS</t>
  </si>
  <si>
    <t>SBS</t>
  </si>
  <si>
    <t>STOR001</t>
  </si>
  <si>
    <t>NSCS</t>
  </si>
  <si>
    <t>SCS</t>
  </si>
  <si>
    <t>NSEA</t>
  </si>
  <si>
    <t>Seaward Group</t>
  </si>
  <si>
    <t>SEAW001</t>
  </si>
  <si>
    <t>NSHI</t>
  </si>
  <si>
    <t>Shimpo</t>
  </si>
  <si>
    <t>SHIM001</t>
  </si>
  <si>
    <t>NSKU</t>
  </si>
  <si>
    <t>Skutch</t>
  </si>
  <si>
    <t>SKUT001</t>
  </si>
  <si>
    <t>NSMO</t>
  </si>
  <si>
    <t>SMOR Cases</t>
  </si>
  <si>
    <t>SMOR001</t>
  </si>
  <si>
    <t>NSPE</t>
  </si>
  <si>
    <t>Sperry Instruments</t>
  </si>
  <si>
    <t>MACP001</t>
  </si>
  <si>
    <t>NSTR</t>
  </si>
  <si>
    <t>Streamlight</t>
  </si>
  <si>
    <t>STRE001</t>
  </si>
  <si>
    <t>NSUP</t>
  </si>
  <si>
    <t>Sealed Unit Parts Co.</t>
  </si>
  <si>
    <t>SUPC001</t>
  </si>
  <si>
    <t>NTDO</t>
  </si>
  <si>
    <t>Test Equipment Depot</t>
  </si>
  <si>
    <t>ROYA001</t>
  </si>
  <si>
    <t>NTEK</t>
  </si>
  <si>
    <t>Tektronix</t>
  </si>
  <si>
    <t>NTEO</t>
  </si>
  <si>
    <t>Testo</t>
  </si>
  <si>
    <t>TEST017</t>
  </si>
  <si>
    <t>NTES</t>
  </si>
  <si>
    <t>Tescom</t>
  </si>
  <si>
    <t>TESC001</t>
  </si>
  <si>
    <t>NTIF</t>
  </si>
  <si>
    <t>TIF</t>
  </si>
  <si>
    <t>NTKV</t>
  </si>
  <si>
    <t>Tektronix Video</t>
  </si>
  <si>
    <t>NTLR</t>
  </si>
  <si>
    <t>Telaire</t>
  </si>
  <si>
    <t>NTRA</t>
  </si>
  <si>
    <t>Transmation</t>
  </si>
  <si>
    <t>NTRI</t>
  </si>
  <si>
    <t>Trilithic</t>
  </si>
  <si>
    <t>TRIL001</t>
  </si>
  <si>
    <t>NTRP</t>
  </si>
  <si>
    <t>Triplett</t>
  </si>
  <si>
    <t>NTRU</t>
  </si>
  <si>
    <t>Trumeter</t>
  </si>
  <si>
    <t>TRUM002</t>
  </si>
  <si>
    <t>NTVO</t>
  </si>
  <si>
    <t>TV One</t>
  </si>
  <si>
    <t>NUEI</t>
  </si>
  <si>
    <t>UEi</t>
  </si>
  <si>
    <t>UEI001</t>
  </si>
  <si>
    <t>NUNI</t>
  </si>
  <si>
    <t>Unisource Corporation</t>
  </si>
  <si>
    <t>NVER</t>
  </si>
  <si>
    <t>Vertex</t>
  </si>
  <si>
    <t>VERT001</t>
  </si>
  <si>
    <t>Viavi</t>
  </si>
  <si>
    <t>NVIT</t>
  </si>
  <si>
    <t>Vitrek</t>
  </si>
  <si>
    <t>VITR001</t>
  </si>
  <si>
    <t>NVRS</t>
  </si>
  <si>
    <t>Versatile Power</t>
  </si>
  <si>
    <t>VERS001</t>
  </si>
  <si>
    <t>NWAY</t>
  </si>
  <si>
    <t>Wayne Kerr</t>
  </si>
  <si>
    <t>WAYN001</t>
  </si>
  <si>
    <t>NWEL</t>
  </si>
  <si>
    <t>Weller</t>
  </si>
  <si>
    <t>NWIN</t>
  </si>
  <si>
    <t>Winchester Engineering</t>
  </si>
  <si>
    <t>NWIS</t>
  </si>
  <si>
    <t>Wiss</t>
  </si>
  <si>
    <t>NWIT</t>
  </si>
  <si>
    <t>WITTIG</t>
  </si>
  <si>
    <t>NWOH</t>
  </si>
  <si>
    <t>Wohler Technologies</t>
  </si>
  <si>
    <t>WOHL001</t>
  </si>
  <si>
    <t>NWON</t>
  </si>
  <si>
    <t>Wonwoo</t>
  </si>
  <si>
    <t>KNYE001</t>
  </si>
  <si>
    <t>NXCE</t>
  </si>
  <si>
    <t>Xcelite</t>
  </si>
  <si>
    <t>NYEL</t>
  </si>
  <si>
    <t>Yellow Jacket</t>
  </si>
  <si>
    <t>YELL003</t>
  </si>
  <si>
    <t>NYOK</t>
  </si>
  <si>
    <t>Yokogawa</t>
  </si>
  <si>
    <t>YOKO001</t>
  </si>
  <si>
    <t>UAEM</t>
  </si>
  <si>
    <t>AEMC (Used)</t>
  </si>
  <si>
    <t>UAGI</t>
  </si>
  <si>
    <t>AGILENT (Used)</t>
  </si>
  <si>
    <t>UAVC</t>
  </si>
  <si>
    <t>AVCOM (Used)</t>
  </si>
  <si>
    <t>UFLN</t>
  </si>
  <si>
    <t>Fluke Networks (Used)</t>
  </si>
  <si>
    <t>UFLU</t>
  </si>
  <si>
    <t>Fluke (Used)</t>
  </si>
  <si>
    <t>UHAM</t>
  </si>
  <si>
    <t>Hameg (Used)</t>
  </si>
  <si>
    <t>ULEC</t>
  </si>
  <si>
    <t>LeCroy (Used)</t>
  </si>
  <si>
    <t>USED</t>
  </si>
  <si>
    <t>PROBETRONIX (Used)</t>
  </si>
  <si>
    <t>UTEK</t>
  </si>
  <si>
    <t>Tektronix (Used)</t>
  </si>
  <si>
    <t>UTKV</t>
  </si>
  <si>
    <t>Tektronix Video (Used)</t>
  </si>
  <si>
    <t>BaseCostQTY</t>
  </si>
  <si>
    <t>Sage Last Unit Cost</t>
  </si>
  <si>
    <t>Alerts
Alerts</t>
  </si>
  <si>
    <t>Fill
Down</t>
  </si>
  <si>
    <t>----&gt;</t>
  </si>
  <si>
    <t>Sage Product Line</t>
  </si>
  <si>
    <t>Count</t>
  </si>
  <si>
    <t>DateCreated</t>
  </si>
  <si>
    <t>Sage DateCreated</t>
  </si>
  <si>
    <t>Sage InventoryValue</t>
  </si>
  <si>
    <t>for maggie</t>
  </si>
  <si>
    <t>Product Data</t>
  </si>
  <si>
    <t>Our Cost</t>
  </si>
  <si>
    <t>MAP</t>
  </si>
  <si>
    <t>MSRP (List)</t>
  </si>
  <si>
    <t>Disco</t>
  </si>
  <si>
    <t>Country</t>
  </si>
  <si>
    <t>GSALowest</t>
  </si>
  <si>
    <t>SageGSALowest</t>
  </si>
  <si>
    <t>StrippedAlias/Vendor Item Code</t>
  </si>
  <si>
    <t>StrippedAlias/Catalog#</t>
  </si>
  <si>
    <t>StrippedAlias/UPC</t>
  </si>
  <si>
    <t>StrippedAlias/GTIN14</t>
  </si>
  <si>
    <t>StrippedAlias/Model</t>
  </si>
  <si>
    <t>CSStrippedAlias</t>
  </si>
  <si>
    <t>SudoItemCode</t>
  </si>
  <si>
    <t>UDF_SPECIALORDER</t>
  </si>
  <si>
    <t>On Price List</t>
  </si>
  <si>
    <t>Sage Special Order</t>
  </si>
  <si>
    <t>Special Order</t>
  </si>
  <si>
    <t>Conditional Formating</t>
  </si>
  <si>
    <t>Current Profitability</t>
  </si>
  <si>
    <t>for breakpoint</t>
  </si>
  <si>
    <t>Margin Override</t>
  </si>
  <si>
    <t>Vendor --&gt;</t>
  </si>
  <si>
    <t>Special Order Update</t>
  </si>
  <si>
    <t>StrippedAlias for Lookups</t>
  </si>
  <si>
    <t>Alias Override</t>
  </si>
  <si>
    <t>UDF_DISCONTINUED_STATUS</t>
  </si>
  <si>
    <t xml:space="preserve">Disco </t>
  </si>
  <si>
    <t xml:space="preserve">Status </t>
  </si>
  <si>
    <t>Upload Descriptions</t>
  </si>
  <si>
    <t>UDF_RFQ</t>
  </si>
  <si>
    <t>Sage RFQ</t>
  </si>
  <si>
    <t>RFQ Update</t>
  </si>
  <si>
    <t>RFQ</t>
  </si>
  <si>
    <t>UDF_REVIEW_REQUIRED</t>
  </si>
  <si>
    <t>Review</t>
  </si>
  <si>
    <t>Req.</t>
  </si>
  <si>
    <t>CSVendorAlias</t>
  </si>
  <si>
    <t>Misc1</t>
  </si>
  <si>
    <t>Misc2</t>
  </si>
  <si>
    <t>ffsmaggie</t>
  </si>
  <si>
    <t>UDF_AMAZON_SKU</t>
  </si>
  <si>
    <t>UDF_ISAMAZ002</t>
  </si>
  <si>
    <t>UDF_ISEBAY</t>
  </si>
  <si>
    <t>UDF_ISSEARS</t>
  </si>
  <si>
    <t>UDF_ISNEWEGG</t>
  </si>
  <si>
    <t>UDF_ISGLOBAL</t>
  </si>
  <si>
    <t>UDF_ISWALMART</t>
  </si>
  <si>
    <t>for johnny</t>
  </si>
  <si>
    <t>PricelistDescription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</si>
</sst>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0.0%"/>
  </numFmts>
  <fonts count="37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indexed="64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8"/>
      <color theme="3" tint="-0.249977111117893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8"/>
      <color rgb="FFFFFF00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9"/>
      <color rgb="FFFFFF00"/>
      <name val="Calibri"/>
      <family val="2"/>
      <scheme val="minor"/>
    </font>
    <font>
      <b/>
      <sz val="10"/>
      <color theme="9"/>
      <name val="Calibri"/>
      <family val="2"/>
      <scheme val="minor"/>
    </font>
    <font>
      <b/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/>
    <xf numFmtId="0" fontId="4" fillId="6" borderId="0" applyNumberFormat="0" applyBorder="0" applyAlignment="0" applyProtection="0"/>
    <xf numFmtId="0" fontId="5" fillId="7" borderId="1" applyNumberFormat="0" applyAlignment="0" applyProtection="0"/>
    <xf numFmtId="0" fontId="6" fillId="0" borderId="0"/>
    <xf numFmtId="0" fontId="3" fillId="0" borderId="0"/>
    <xf numFmtId="9" fontId="3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6" fillId="0" borderId="0"/>
  </cellStyleXfs>
  <cellXfs count="98">
    <xf numFmtId="0" fontId="0" fillId="0" borderId="0" xfId="0"/>
    <xf numFmtId="0" fontId="1" fillId="0" borderId="0" xfId="0" applyFont="1"/>
    <xf numFmtId="0" fontId="1" fillId="0" borderId="0" xfId="0" applyNumberFormat="1" applyFont="1"/>
    <xf numFmtId="49" fontId="1" fillId="0" borderId="0" xfId="0" applyNumberFormat="1" applyFont="1"/>
    <xf numFmtId="164" fontId="1" fillId="0" borderId="0" xfId="6" applyNumberFormat="1" applyFont="1"/>
    <xf numFmtId="14" fontId="1" fillId="0" borderId="0" xfId="0" applyNumberFormat="1" applyFont="1"/>
    <xf numFmtId="0" fontId="1" fillId="0" borderId="0" xfId="6" applyNumberFormat="1" applyFont="1"/>
    <xf numFmtId="0" fontId="11" fillId="14" borderId="0" xfId="0" applyFont="1" applyFill="1" applyAlignment="1">
      <alignment vertical="center"/>
    </xf>
    <xf numFmtId="0" fontId="12" fillId="14" borderId="0" xfId="0" applyFont="1" applyFill="1" applyAlignment="1">
      <alignment vertical="center"/>
    </xf>
    <xf numFmtId="0" fontId="11" fillId="14" borderId="0" xfId="0" applyFont="1" applyFill="1" applyAlignment="1">
      <alignment horizontal="left" vertical="center"/>
    </xf>
    <xf numFmtId="9" fontId="15" fillId="9" borderId="0" xfId="6" applyFont="1" applyFill="1" applyAlignment="1">
      <alignment horizontal="left" vertical="center"/>
    </xf>
    <xf numFmtId="0" fontId="4" fillId="6" borderId="0" xfId="2" applyNumberFormat="1" applyAlignment="1">
      <alignment horizontal="left" vertical="top" wrapText="1"/>
    </xf>
    <xf numFmtId="0" fontId="8" fillId="12" borderId="0" xfId="0" applyNumberFormat="1" applyFont="1" applyFill="1" applyAlignment="1">
      <alignment horizontal="left" vertical="center"/>
    </xf>
    <xf numFmtId="0" fontId="14" fillId="12" borderId="0" xfId="0" applyNumberFormat="1" applyFont="1" applyFill="1" applyAlignment="1">
      <alignment horizontal="left" vertical="center"/>
    </xf>
    <xf numFmtId="9" fontId="1" fillId="0" borderId="0" xfId="6" applyFont="1"/>
    <xf numFmtId="0" fontId="23" fillId="11" borderId="0" xfId="0" applyNumberFormat="1" applyFont="1" applyFill="1" applyAlignment="1">
      <alignment vertical="top" wrapText="1"/>
    </xf>
    <xf numFmtId="0" fontId="23" fillId="2" borderId="0" xfId="0" applyNumberFormat="1" applyFont="1" applyFill="1" applyAlignment="1">
      <alignment vertical="top" wrapText="1"/>
    </xf>
    <xf numFmtId="0" fontId="23" fillId="4" borderId="0" xfId="0" applyNumberFormat="1" applyFont="1" applyFill="1" applyAlignment="1">
      <alignment vertical="top" wrapText="1"/>
    </xf>
    <xf numFmtId="0" fontId="23" fillId="9" borderId="0" xfId="6" applyNumberFormat="1" applyFont="1" applyFill="1" applyAlignment="1">
      <alignment vertical="top" wrapText="1"/>
    </xf>
    <xf numFmtId="0" fontId="23" fillId="0" borderId="0" xfId="0" applyFont="1" applyAlignment="1">
      <alignment vertical="top" wrapText="1"/>
    </xf>
    <xf numFmtId="49" fontId="13" fillId="17" borderId="0" xfId="0" applyNumberFormat="1" applyFont="1" applyFill="1" applyAlignment="1">
      <alignment horizontal="left" vertical="center" wrapText="1"/>
    </xf>
    <xf numFmtId="49" fontId="19" fillId="17" borderId="0" xfId="0" applyNumberFormat="1" applyFont="1" applyFill="1" applyAlignment="1">
      <alignment horizontal="left" vertical="center" wrapText="1"/>
    </xf>
    <xf numFmtId="0" fontId="8" fillId="12" borderId="0" xfId="0" applyNumberFormat="1" applyFont="1" applyFill="1" applyAlignment="1">
      <alignment horizontal="center" vertical="center"/>
    </xf>
    <xf numFmtId="0" fontId="15" fillId="12" borderId="0" xfId="0" applyNumberFormat="1" applyFont="1" applyFill="1" applyAlignment="1">
      <alignment horizontal="left" vertical="center" wrapText="1"/>
    </xf>
    <xf numFmtId="9" fontId="9" fillId="9" borderId="0" xfId="6" applyFont="1" applyFill="1" applyAlignment="1">
      <alignment horizontal="left" vertical="center" wrapText="1"/>
    </xf>
    <xf numFmtId="164" fontId="9" fillId="9" borderId="0" xfId="6" applyNumberFormat="1" applyFont="1" applyFill="1" applyAlignment="1">
      <alignment horizontal="left" vertical="center" wrapText="1"/>
    </xf>
    <xf numFmtId="9" fontId="8" fillId="12" borderId="0" xfId="6" applyFont="1" applyFill="1" applyAlignment="1">
      <alignment horizontal="center" vertical="center"/>
    </xf>
    <xf numFmtId="0" fontId="8" fillId="5" borderId="0" xfId="0" applyFont="1" applyFill="1" applyAlignment="1">
      <alignment vertical="center" wrapText="1"/>
    </xf>
    <xf numFmtId="0" fontId="8" fillId="2" borderId="0" xfId="0" applyFont="1" applyFill="1" applyAlignment="1">
      <alignment vertical="center"/>
    </xf>
    <xf numFmtId="0" fontId="8" fillId="2" borderId="0" xfId="0" applyFont="1" applyFill="1" applyAlignment="1">
      <alignment vertical="center" wrapText="1"/>
    </xf>
    <xf numFmtId="0" fontId="10" fillId="0" borderId="0" xfId="0" applyFont="1" applyAlignment="1">
      <alignment vertical="center"/>
    </xf>
    <xf numFmtId="9" fontId="18" fillId="18" borderId="0" xfId="6" applyFont="1" applyFill="1" applyAlignment="1">
      <alignment horizontal="center" vertical="center"/>
    </xf>
    <xf numFmtId="14" fontId="8" fillId="12" borderId="0" xfId="0" applyNumberFormat="1" applyFont="1" applyFill="1" applyAlignment="1">
      <alignment horizontal="center" vertical="center"/>
    </xf>
    <xf numFmtId="14" fontId="23" fillId="4" borderId="0" xfId="0" applyNumberFormat="1" applyFont="1" applyFill="1" applyAlignment="1">
      <alignment vertical="top" wrapText="1"/>
    </xf>
    <xf numFmtId="49" fontId="5" fillId="7" borderId="1" xfId="3" applyNumberFormat="1" applyAlignment="1">
      <alignment horizontal="left" vertical="top" wrapText="1"/>
    </xf>
    <xf numFmtId="14" fontId="5" fillId="7" borderId="1" xfId="3" applyNumberFormat="1" applyAlignment="1">
      <alignment horizontal="left" vertical="top" wrapText="1"/>
    </xf>
    <xf numFmtId="0" fontId="8" fillId="12" borderId="0" xfId="6" applyNumberFormat="1" applyFont="1" applyFill="1" applyAlignment="1">
      <alignment horizontal="center" vertical="center"/>
    </xf>
    <xf numFmtId="0" fontId="23" fillId="4" borderId="0" xfId="6" applyNumberFormat="1" applyFont="1" applyFill="1" applyAlignment="1">
      <alignment vertical="top" wrapText="1"/>
    </xf>
    <xf numFmtId="0" fontId="29" fillId="16" borderId="0" xfId="0" applyNumberFormat="1" applyFont="1" applyFill="1" applyAlignment="1">
      <alignment horizontal="center" vertical="top" wrapText="1"/>
    </xf>
    <xf numFmtId="0" fontId="20" fillId="8" borderId="0" xfId="0" applyNumberFormat="1" applyFont="1" applyFill="1" applyAlignment="1">
      <alignment horizontal="left" vertical="center" wrapText="1"/>
    </xf>
    <xf numFmtId="0" fontId="9" fillId="12" borderId="0" xfId="0" applyNumberFormat="1" applyFont="1" applyFill="1" applyAlignment="1">
      <alignment horizontal="left" vertical="center" wrapText="1"/>
    </xf>
    <xf numFmtId="0" fontId="30" fillId="13" borderId="0" xfId="0" applyFont="1" applyFill="1" applyAlignment="1">
      <alignment horizontal="center" wrapText="1"/>
    </xf>
    <xf numFmtId="14" fontId="8" fillId="12" borderId="0" xfId="6" applyNumberFormat="1" applyFont="1" applyFill="1" applyAlignment="1">
      <alignment horizontal="center" vertical="center"/>
    </xf>
    <xf numFmtId="14" fontId="23" fillId="4" borderId="0" xfId="6" applyNumberFormat="1" applyFont="1" applyFill="1" applyAlignment="1">
      <alignment vertical="top" wrapText="1"/>
    </xf>
    <xf numFmtId="14" fontId="1" fillId="0" borderId="0" xfId="6" applyNumberFormat="1" applyFont="1"/>
    <xf numFmtId="0" fontId="5" fillId="7" borderId="1" xfId="3" applyNumberFormat="1" applyAlignment="1">
      <alignment horizontal="left" vertical="top" wrapText="1"/>
    </xf>
    <xf numFmtId="0" fontId="22" fillId="20" borderId="0" xfId="0" applyFont="1" applyFill="1" applyAlignment="1">
      <alignment vertical="top" wrapText="1"/>
    </xf>
    <xf numFmtId="0" fontId="13" fillId="8" borderId="0" xfId="0" applyNumberFormat="1" applyFont="1" applyFill="1" applyAlignment="1">
      <alignment horizontal="left" vertical="center" wrapText="1"/>
    </xf>
    <xf numFmtId="0" fontId="31" fillId="16" borderId="0" xfId="0" applyNumberFormat="1" applyFont="1" applyFill="1" applyAlignment="1">
      <alignment horizontal="center" vertical="top" wrapText="1"/>
    </xf>
    <xf numFmtId="49" fontId="33" fillId="8" borderId="0" xfId="0" applyNumberFormat="1" applyFont="1" applyFill="1" applyAlignment="1">
      <alignment horizontal="left" vertical="center" wrapText="1"/>
    </xf>
    <xf numFmtId="0" fontId="18" fillId="19" borderId="0" xfId="0" applyFont="1" applyFill="1" applyAlignment="1">
      <alignment vertical="center" wrapText="1"/>
    </xf>
    <xf numFmtId="0" fontId="34" fillId="16" borderId="5" xfId="0" applyNumberFormat="1" applyFont="1" applyFill="1" applyBorder="1" applyAlignment="1">
      <alignment horizontal="center" vertical="center" wrapText="1"/>
    </xf>
    <xf numFmtId="0" fontId="31" fillId="16" borderId="5" xfId="0" applyNumberFormat="1" applyFont="1" applyFill="1" applyBorder="1" applyAlignment="1">
      <alignment horizontal="center" vertical="center" wrapText="1"/>
    </xf>
    <xf numFmtId="0" fontId="27" fillId="19" borderId="0" xfId="0" applyNumberFormat="1" applyFont="1" applyFill="1" applyAlignment="1">
      <alignment horizontal="left" vertical="top" wrapText="1"/>
    </xf>
    <xf numFmtId="0" fontId="27" fillId="19" borderId="0" xfId="0" applyNumberFormat="1" applyFont="1" applyFill="1" applyAlignment="1">
      <alignment horizontal="left" wrapText="1"/>
    </xf>
    <xf numFmtId="0" fontId="36" fillId="22" borderId="0" xfId="0" applyNumberFormat="1" applyFont="1" applyFill="1" applyAlignment="1">
      <alignment horizontal="left" textRotation="255" wrapText="1"/>
    </xf>
    <xf numFmtId="0" fontId="36" fillId="22" borderId="0" xfId="0" applyNumberFormat="1" applyFont="1" applyFill="1" applyAlignment="1">
      <alignment horizontal="left" vertical="top" textRotation="255" wrapText="1"/>
    </xf>
    <xf numFmtId="0" fontId="8" fillId="5" borderId="4" xfId="0" applyNumberFormat="1" applyFont="1" applyFill="1" applyBorder="1" applyAlignment="1">
      <alignment horizontal="center" vertical="center"/>
    </xf>
    <xf numFmtId="0" fontId="16" fillId="5" borderId="2" xfId="0" applyNumberFormat="1" applyFont="1" applyFill="1" applyBorder="1" applyAlignment="1">
      <alignment horizontal="left" vertical="center"/>
    </xf>
    <xf numFmtId="0" fontId="22" fillId="9" borderId="0" xfId="6" applyNumberFormat="1" applyFont="1" applyFill="1" applyAlignment="1">
      <alignment horizontal="left" vertical="center" wrapText="1"/>
    </xf>
    <xf numFmtId="0" fontId="16" fillId="8" borderId="0" xfId="0" applyNumberFormat="1" applyFont="1" applyFill="1" applyAlignment="1">
      <alignment horizontal="left" vertical="center"/>
    </xf>
    <xf numFmtId="0" fontId="14" fillId="15" borderId="2" xfId="0" applyNumberFormat="1" applyFont="1" applyFill="1" applyBorder="1" applyAlignment="1">
      <alignment horizontal="right" vertical="center"/>
    </xf>
    <xf numFmtId="0" fontId="8" fillId="5" borderId="3" xfId="0" applyNumberFormat="1" applyFont="1" applyFill="1" applyBorder="1" applyAlignment="1">
      <alignment horizontal="center" vertical="center"/>
    </xf>
    <xf numFmtId="0" fontId="28" fillId="18" borderId="0" xfId="0" applyNumberFormat="1" applyFont="1" applyFill="1" applyAlignment="1">
      <alignment vertical="top" wrapText="1"/>
    </xf>
    <xf numFmtId="0" fontId="16" fillId="17" borderId="0" xfId="0" applyNumberFormat="1" applyFont="1" applyFill="1" applyAlignment="1">
      <alignment horizontal="left" vertical="center"/>
    </xf>
    <xf numFmtId="0" fontId="13" fillId="17" borderId="0" xfId="0" applyNumberFormat="1" applyFont="1" applyFill="1" applyAlignment="1">
      <alignment horizontal="left" vertical="center" wrapText="1"/>
    </xf>
    <xf numFmtId="0" fontId="23" fillId="17" borderId="0" xfId="0" applyNumberFormat="1" applyFont="1" applyFill="1" applyAlignment="1">
      <alignment horizontal="left" vertical="top" wrapText="1"/>
    </xf>
    <xf numFmtId="0" fontId="35" fillId="21" borderId="0" xfId="0" applyNumberFormat="1" applyFont="1" applyFill="1" applyAlignment="1">
      <alignment vertical="top" wrapText="1"/>
    </xf>
    <xf numFmtId="0" fontId="24" fillId="13" borderId="0" xfId="0" applyNumberFormat="1" applyFont="1" applyFill="1" applyAlignment="1">
      <alignment horizontal="left" vertical="center" wrapText="1"/>
    </xf>
    <xf numFmtId="0" fontId="23" fillId="20" borderId="0" xfId="0" applyNumberFormat="1" applyFont="1" applyFill="1" applyAlignment="1">
      <alignment vertical="top" wrapText="1"/>
    </xf>
    <xf numFmtId="0" fontId="26" fillId="18" borderId="0" xfId="6" applyNumberFormat="1" applyFont="1" applyFill="1" applyAlignment="1">
      <alignment vertical="top" wrapText="1"/>
    </xf>
    <xf numFmtId="0" fontId="23" fillId="5" borderId="0" xfId="0" applyNumberFormat="1" applyFont="1" applyFill="1" applyAlignment="1">
      <alignment vertical="top" wrapText="1"/>
    </xf>
    <xf numFmtId="0" fontId="21" fillId="5" borderId="0" xfId="0" applyNumberFormat="1" applyFont="1" applyFill="1" applyAlignment="1">
      <alignment vertical="top" wrapText="1"/>
    </xf>
    <xf numFmtId="0" fontId="25" fillId="14" borderId="0" xfId="0" applyNumberFormat="1" applyFont="1" applyFill="1" applyAlignment="1">
      <alignment vertical="center" wrapText="1"/>
    </xf>
    <xf numFmtId="0" fontId="27" fillId="19" borderId="0" xfId="0" quotePrefix="1" applyNumberFormat="1" applyFont="1" applyFill="1" applyAlignment="1">
      <alignment vertical="top" textRotation="180" wrapText="1"/>
    </xf>
    <xf numFmtId="0" fontId="1" fillId="0" borderId="0" xfId="0" applyNumberFormat="1" applyFont="1" applyFill="1"/>
    <xf numFmtId="0" fontId="1" fillId="0" borderId="0" xfId="0" quotePrefix="1" applyNumberFormat="1" applyFont="1" applyFill="1"/>
    <xf numFmtId="0" fontId="1" fillId="0" borderId="0" xfId="6" applyNumberFormat="1" applyFont="1" applyFill="1"/>
    <xf numFmtId="14" fontId="1" fillId="0" borderId="0" xfId="0" applyNumberFormat="1" applyFont="1" applyFill="1"/>
    <xf numFmtId="14" fontId="1" fillId="0" borderId="0" xfId="6" applyNumberFormat="1" applyFont="1" applyFill="1"/>
    <xf numFmtId="0" fontId="1" fillId="0" borderId="0" xfId="0" applyFont="1" applyFill="1"/>
    <xf numFmtId="49" fontId="1" fillId="0" borderId="0" xfId="0" applyNumberFormat="1" applyFont="1" applyFill="1"/>
    <xf numFmtId="164" fontId="1" fillId="0" borderId="0" xfId="6" applyNumberFormat="1" applyFont="1" applyFill="1"/>
    <xf numFmtId="9" fontId="1" fillId="0" borderId="0" xfId="6" applyFont="1" applyFill="1"/>
    <xf numFmtId="164" fontId="22" fillId="10" borderId="0" xfId="6" applyNumberFormat="1" applyFont="1" applyFill="1" applyAlignment="1">
      <alignment horizontal="left" vertical="center" wrapText="1"/>
    </xf>
    <xf numFmtId="164" fontId="23" fillId="3" borderId="0" xfId="6" applyNumberFormat="1" applyFont="1" applyFill="1" applyAlignment="1">
      <alignment vertical="top" wrapText="1"/>
    </xf>
    <xf numFmtId="164" fontId="8" fillId="10" borderId="0" xfId="6" applyNumberFormat="1" applyFont="1" applyFill="1" applyAlignment="1">
      <alignment horizontal="left" vertical="center"/>
    </xf>
    <xf numFmtId="164" fontId="17" fillId="10" borderId="0" xfId="6" applyNumberFormat="1" applyFont="1" applyFill="1" applyAlignment="1">
      <alignment horizontal="left" vertical="center"/>
    </xf>
    <xf numFmtId="164" fontId="8" fillId="12" borderId="0" xfId="6" applyNumberFormat="1" applyFont="1" applyFill="1" applyAlignment="1">
      <alignment horizontal="center" vertical="center"/>
    </xf>
    <xf numFmtId="164" fontId="23" fillId="4" borderId="0" xfId="6" applyNumberFormat="1" applyFont="1" applyFill="1" applyAlignment="1">
      <alignment vertical="top" wrapText="1"/>
    </xf>
    <xf numFmtId="0" fontId="20" fillId="15" borderId="2" xfId="0" applyNumberFormat="1" applyFont="1" applyFill="1" applyBorder="1" applyAlignment="1">
      <alignment vertical="top" wrapText="1"/>
    </xf>
    <xf numFmtId="0" fontId="13" fillId="8" borderId="4" xfId="0" applyNumberFormat="1" applyFont="1" applyFill="1" applyBorder="1" applyAlignment="1">
      <alignment horizontal="left" vertical="center" wrapText="1"/>
    </xf>
    <xf numFmtId="49" fontId="15" fillId="8" borderId="0" xfId="0" applyNumberFormat="1" applyFont="1" applyFill="1" applyAlignment="1">
      <alignment horizontal="left" vertical="top" textRotation="45"/>
    </xf>
    <xf numFmtId="49" fontId="23" fillId="2" borderId="0" xfId="0" applyNumberFormat="1" applyFont="1" applyFill="1" applyAlignment="1">
      <alignment vertical="top" wrapText="1"/>
    </xf>
    <xf numFmtId="49" fontId="23" fillId="11" borderId="0" xfId="0" applyNumberFormat="1" applyFont="1" applyFill="1" applyAlignment="1">
      <alignment vertical="top" wrapText="1"/>
    </xf>
    <xf numFmtId="164" fontId="23" fillId="9" borderId="0" xfId="6" applyNumberFormat="1" applyFont="1" applyFill="1" applyAlignment="1">
      <alignment vertical="top" wrapText="1"/>
    </xf>
    <xf numFmtId="14" fontId="9" fillId="5" borderId="2" xfId="0" applyNumberFormat="1" applyFont="1" applyFill="1" applyBorder="1" applyAlignment="1">
      <alignment horizontal="center" vertical="center"/>
    </xf>
    <xf numFmtId="14" fontId="9" fillId="16" borderId="3" xfId="0" applyNumberFormat="1" applyFont="1" applyFill="1" applyBorder="1" applyAlignment="1">
      <alignment horizontal="center" vertical="center"/>
    </xf>
  </cellXfs>
  <cellStyles count="12">
    <cellStyle name="Currency 2" xfId="8" xr:uid="{00000000-0005-0000-0000-000000000000}"/>
    <cellStyle name="Currency 3" xfId="10" xr:uid="{63AA2F45-A242-462F-872C-B8DBBDE2E6A6}"/>
    <cellStyle name="Good" xfId="2" builtinId="26"/>
    <cellStyle name="Input" xfId="3" builtinId="20"/>
    <cellStyle name="Normal" xfId="0" builtinId="0"/>
    <cellStyle name="Normal 2" xfId="1" xr:uid="{00000000-0005-0000-0000-000004000000}"/>
    <cellStyle name="Normal 2 2" xfId="4" xr:uid="{00000000-0005-0000-0000-000005000000}"/>
    <cellStyle name="Normal 3" xfId="7" xr:uid="{00000000-0005-0000-0000-000006000000}"/>
    <cellStyle name="Normal 3 2" xfId="11" xr:uid="{E4F2B06F-CFF8-4AD7-A5CE-926E94F0DD95}"/>
    <cellStyle name="Normal 5 2" xfId="5" xr:uid="{00000000-0005-0000-0000-000007000000}"/>
    <cellStyle name="Percent" xfId="6" builtinId="5"/>
    <cellStyle name="Percent 2" xfId="9" xr:uid="{49B562FE-6DFE-4905-B2F9-FF1CC33F8768}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9525</xdr:colOff>
          <xdr:row>0</xdr:row>
          <xdr:rowOff>0</xdr:rowOff>
        </xdr:from>
        <xdr:to>
          <xdr:col>23</xdr:col>
          <xdr:colOff>485775</xdr:colOff>
          <xdr:row>0</xdr:row>
          <xdr:rowOff>447675</xdr:rowOff>
        </xdr:to>
        <xdr:sp macro="" textlink="">
          <xdr:nvSpPr>
            <xdr:cNvPr id="4097" name="Button 1" descr="CallFills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Call Phils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19050</xdr:colOff>
          <xdr:row>0</xdr:row>
          <xdr:rowOff>19050</xdr:rowOff>
        </xdr:from>
        <xdr:to>
          <xdr:col>26</xdr:col>
          <xdr:colOff>457200</xdr:colOff>
          <xdr:row>0</xdr:row>
          <xdr:rowOff>447675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SQLandSort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0</xdr:row>
          <xdr:rowOff>0</xdr:rowOff>
        </xdr:from>
        <xdr:to>
          <xdr:col>20</xdr:col>
          <xdr:colOff>447675</xdr:colOff>
          <xdr:row>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Descriptions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Upload Descriptions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C180"/>
  <sheetViews>
    <sheetView workbookViewId="0">
      <selection activeCell="E12" sqref="E12"/>
    </sheetView>
  </sheetViews>
  <sheetFormatPr defaultRowHeight="15" x14ac:dyDescent="0.25"/>
  <cols>
    <col min="1" max="1" width="10.5703125" bestFit="1" customWidth="1"/>
    <col min="2" max="2" width="22.5703125" bestFit="1" customWidth="1"/>
    <col min="3" max="3" width="15.42578125" bestFit="1" customWidth="1"/>
  </cols>
  <sheetData>
    <row r="1" spans="1:3" x14ac:dyDescent="0.25">
      <c r="A1" t="s">
        <v>3</v>
      </c>
      <c r="B1" t="s">
        <v>166</v>
      </c>
      <c r="C1" t="s">
        <v>167</v>
      </c>
    </row>
    <row r="2" spans="1:3" x14ac:dyDescent="0.25">
      <c r="A2" t="s">
        <v>176</v>
      </c>
      <c r="B2" t="s">
        <v>177</v>
      </c>
      <c r="C2" t="s">
        <v>178</v>
      </c>
    </row>
    <row r="3" spans="1:3" x14ac:dyDescent="0.25">
      <c r="A3" t="s">
        <v>179</v>
      </c>
      <c r="B3" t="s">
        <v>180</v>
      </c>
      <c r="C3" t="s">
        <v>181</v>
      </c>
    </row>
    <row r="4" spans="1:3" x14ac:dyDescent="0.25">
      <c r="A4" t="s">
        <v>182</v>
      </c>
      <c r="B4" t="s">
        <v>183</v>
      </c>
      <c r="C4" t="s">
        <v>184</v>
      </c>
    </row>
    <row r="5" spans="1:3" x14ac:dyDescent="0.25">
      <c r="A5" t="s">
        <v>185</v>
      </c>
      <c r="B5" t="s">
        <v>186</v>
      </c>
      <c r="C5" t="s">
        <v>187</v>
      </c>
    </row>
    <row r="6" spans="1:3" x14ac:dyDescent="0.25">
      <c r="A6" t="s">
        <v>188</v>
      </c>
      <c r="B6" t="s">
        <v>189</v>
      </c>
      <c r="C6" t="s">
        <v>190</v>
      </c>
    </row>
    <row r="7" spans="1:3" x14ac:dyDescent="0.25">
      <c r="A7" t="s">
        <v>191</v>
      </c>
      <c r="B7" t="s">
        <v>192</v>
      </c>
      <c r="C7" t="s">
        <v>193</v>
      </c>
    </row>
    <row r="8" spans="1:3" x14ac:dyDescent="0.25">
      <c r="A8" t="s">
        <v>196</v>
      </c>
      <c r="B8" t="s">
        <v>197</v>
      </c>
      <c r="C8" t="s">
        <v>198</v>
      </c>
    </row>
    <row r="9" spans="1:3" x14ac:dyDescent="0.25">
      <c r="A9" t="s">
        <v>345</v>
      </c>
      <c r="B9" t="s">
        <v>346</v>
      </c>
      <c r="C9" t="s">
        <v>347</v>
      </c>
    </row>
    <row r="10" spans="1:3" x14ac:dyDescent="0.25">
      <c r="A10" t="s">
        <v>502</v>
      </c>
      <c r="B10" t="s">
        <v>503</v>
      </c>
      <c r="C10" t="s">
        <v>347</v>
      </c>
    </row>
    <row r="11" spans="1:3" x14ac:dyDescent="0.25">
      <c r="A11" t="s">
        <v>579</v>
      </c>
      <c r="B11" t="s">
        <v>580</v>
      </c>
      <c r="C11" t="s">
        <v>347</v>
      </c>
    </row>
    <row r="12" spans="1:3" x14ac:dyDescent="0.25">
      <c r="A12" t="s">
        <v>207</v>
      </c>
      <c r="B12" t="s">
        <v>208</v>
      </c>
      <c r="C12" t="s">
        <v>209</v>
      </c>
    </row>
    <row r="13" spans="1:3" x14ac:dyDescent="0.25">
      <c r="A13" t="s">
        <v>210</v>
      </c>
      <c r="B13" t="s">
        <v>211</v>
      </c>
      <c r="C13" t="s">
        <v>212</v>
      </c>
    </row>
    <row r="14" spans="1:3" x14ac:dyDescent="0.25">
      <c r="A14" t="s">
        <v>213</v>
      </c>
      <c r="B14" t="s">
        <v>214</v>
      </c>
      <c r="C14" t="s">
        <v>215</v>
      </c>
    </row>
    <row r="15" spans="1:3" x14ac:dyDescent="0.25">
      <c r="A15" t="s">
        <v>477</v>
      </c>
      <c r="B15" t="s">
        <v>478</v>
      </c>
      <c r="C15" t="s">
        <v>479</v>
      </c>
    </row>
    <row r="16" spans="1:3" x14ac:dyDescent="0.25">
      <c r="A16" t="s">
        <v>216</v>
      </c>
      <c r="B16" t="s">
        <v>217</v>
      </c>
      <c r="C16" t="s">
        <v>218</v>
      </c>
    </row>
    <row r="17" spans="1:3" x14ac:dyDescent="0.25">
      <c r="A17" t="s">
        <v>219</v>
      </c>
      <c r="B17" t="s">
        <v>220</v>
      </c>
      <c r="C17" t="s">
        <v>221</v>
      </c>
    </row>
    <row r="18" spans="1:3" x14ac:dyDescent="0.25">
      <c r="A18" t="s">
        <v>225</v>
      </c>
      <c r="B18" t="s">
        <v>226</v>
      </c>
      <c r="C18" t="s">
        <v>227</v>
      </c>
    </row>
    <row r="19" spans="1:3" x14ac:dyDescent="0.25">
      <c r="A19" t="s">
        <v>222</v>
      </c>
      <c r="B19" t="s">
        <v>223</v>
      </c>
      <c r="C19" t="s">
        <v>224</v>
      </c>
    </row>
    <row r="20" spans="1:3" x14ac:dyDescent="0.25">
      <c r="A20" t="s">
        <v>231</v>
      </c>
      <c r="B20" t="s">
        <v>232</v>
      </c>
      <c r="C20" t="s">
        <v>233</v>
      </c>
    </row>
    <row r="21" spans="1:3" x14ac:dyDescent="0.25">
      <c r="A21" t="s">
        <v>234</v>
      </c>
      <c r="B21" t="s">
        <v>235</v>
      </c>
      <c r="C21" t="s">
        <v>236</v>
      </c>
    </row>
    <row r="22" spans="1:3" x14ac:dyDescent="0.25">
      <c r="A22" t="s">
        <v>237</v>
      </c>
      <c r="B22" t="s">
        <v>238</v>
      </c>
      <c r="C22" t="s">
        <v>239</v>
      </c>
    </row>
    <row r="23" spans="1:3" x14ac:dyDescent="0.25">
      <c r="A23" t="s">
        <v>240</v>
      </c>
      <c r="B23" t="s">
        <v>241</v>
      </c>
      <c r="C23" t="s">
        <v>242</v>
      </c>
    </row>
    <row r="24" spans="1:3" x14ac:dyDescent="0.25">
      <c r="A24" t="s">
        <v>246</v>
      </c>
      <c r="B24" t="s">
        <v>247</v>
      </c>
      <c r="C24" t="s">
        <v>248</v>
      </c>
    </row>
    <row r="25" spans="1:3" x14ac:dyDescent="0.25">
      <c r="A25" t="s">
        <v>252</v>
      </c>
      <c r="B25" t="s">
        <v>253</v>
      </c>
      <c r="C25" t="s">
        <v>254</v>
      </c>
    </row>
    <row r="26" spans="1:3" x14ac:dyDescent="0.25">
      <c r="A26" t="s">
        <v>518</v>
      </c>
      <c r="B26" t="s">
        <v>519</v>
      </c>
      <c r="C26" t="s">
        <v>520</v>
      </c>
    </row>
    <row r="27" spans="1:3" x14ac:dyDescent="0.25">
      <c r="A27" t="s">
        <v>255</v>
      </c>
      <c r="B27" t="s">
        <v>256</v>
      </c>
      <c r="C27" t="s">
        <v>257</v>
      </c>
    </row>
    <row r="28" spans="1:3" x14ac:dyDescent="0.25">
      <c r="A28" t="s">
        <v>249</v>
      </c>
      <c r="B28" t="s">
        <v>250</v>
      </c>
      <c r="C28" t="s">
        <v>251</v>
      </c>
    </row>
    <row r="29" spans="1:3" x14ac:dyDescent="0.25">
      <c r="A29" t="s">
        <v>258</v>
      </c>
      <c r="B29" t="s">
        <v>259</v>
      </c>
      <c r="C29" t="s">
        <v>251</v>
      </c>
    </row>
    <row r="30" spans="1:3" x14ac:dyDescent="0.25">
      <c r="A30" t="s">
        <v>301</v>
      </c>
      <c r="B30" t="s">
        <v>302</v>
      </c>
      <c r="C30" t="s">
        <v>251</v>
      </c>
    </row>
    <row r="31" spans="1:3" x14ac:dyDescent="0.25">
      <c r="A31" t="s">
        <v>421</v>
      </c>
      <c r="B31" t="s">
        <v>422</v>
      </c>
      <c r="C31" t="s">
        <v>251</v>
      </c>
    </row>
    <row r="32" spans="1:3" x14ac:dyDescent="0.25">
      <c r="A32" t="s">
        <v>453</v>
      </c>
      <c r="B32" t="s">
        <v>454</v>
      </c>
      <c r="C32" t="s">
        <v>251</v>
      </c>
    </row>
    <row r="33" spans="1:3" x14ac:dyDescent="0.25">
      <c r="A33" t="s">
        <v>489</v>
      </c>
      <c r="B33" t="s">
        <v>490</v>
      </c>
      <c r="C33" t="s">
        <v>251</v>
      </c>
    </row>
    <row r="34" spans="1:3" x14ac:dyDescent="0.25">
      <c r="A34" t="s">
        <v>611</v>
      </c>
      <c r="B34" t="s">
        <v>612</v>
      </c>
      <c r="C34" t="s">
        <v>251</v>
      </c>
    </row>
    <row r="35" spans="1:3" x14ac:dyDescent="0.25">
      <c r="A35" t="s">
        <v>615</v>
      </c>
      <c r="B35" t="s">
        <v>616</v>
      </c>
      <c r="C35" t="s">
        <v>251</v>
      </c>
    </row>
    <row r="36" spans="1:3" x14ac:dyDescent="0.25">
      <c r="A36" t="s">
        <v>625</v>
      </c>
      <c r="B36" t="s">
        <v>626</v>
      </c>
      <c r="C36" t="s">
        <v>251</v>
      </c>
    </row>
    <row r="37" spans="1:3" x14ac:dyDescent="0.25">
      <c r="A37" t="s">
        <v>260</v>
      </c>
      <c r="B37" t="s">
        <v>261</v>
      </c>
      <c r="C37" t="s">
        <v>262</v>
      </c>
    </row>
    <row r="38" spans="1:3" x14ac:dyDescent="0.25">
      <c r="A38" t="s">
        <v>263</v>
      </c>
      <c r="B38" t="s">
        <v>264</v>
      </c>
      <c r="C38" t="s">
        <v>265</v>
      </c>
    </row>
    <row r="39" spans="1:3" x14ac:dyDescent="0.25">
      <c r="A39" t="s">
        <v>541</v>
      </c>
      <c r="B39" t="s">
        <v>542</v>
      </c>
      <c r="C39" t="s">
        <v>265</v>
      </c>
    </row>
    <row r="40" spans="1:3" x14ac:dyDescent="0.25">
      <c r="A40" t="s">
        <v>269</v>
      </c>
      <c r="B40" t="s">
        <v>270</v>
      </c>
      <c r="C40" t="s">
        <v>271</v>
      </c>
    </row>
    <row r="41" spans="1:3" x14ac:dyDescent="0.25">
      <c r="A41" t="s">
        <v>275</v>
      </c>
      <c r="B41" t="s">
        <v>276</v>
      </c>
      <c r="C41" t="s">
        <v>277</v>
      </c>
    </row>
    <row r="42" spans="1:3" x14ac:dyDescent="0.25">
      <c r="A42" t="s">
        <v>278</v>
      </c>
      <c r="B42" t="s">
        <v>279</v>
      </c>
      <c r="C42" t="s">
        <v>280</v>
      </c>
    </row>
    <row r="43" spans="1:3" x14ac:dyDescent="0.25">
      <c r="A43" t="s">
        <v>426</v>
      </c>
      <c r="B43" t="s">
        <v>427</v>
      </c>
      <c r="C43" t="s">
        <v>428</v>
      </c>
    </row>
    <row r="44" spans="1:3" x14ac:dyDescent="0.25">
      <c r="A44" t="s">
        <v>613</v>
      </c>
      <c r="B44" t="s">
        <v>614</v>
      </c>
      <c r="C44" t="s">
        <v>428</v>
      </c>
    </row>
    <row r="45" spans="1:3" x14ac:dyDescent="0.25">
      <c r="A45" t="s">
        <v>284</v>
      </c>
      <c r="B45" t="s">
        <v>285</v>
      </c>
      <c r="C45" t="s">
        <v>286</v>
      </c>
    </row>
    <row r="46" spans="1:3" x14ac:dyDescent="0.25">
      <c r="A46" t="s">
        <v>287</v>
      </c>
      <c r="B46" t="s">
        <v>288</v>
      </c>
      <c r="C46" t="s">
        <v>289</v>
      </c>
    </row>
    <row r="47" spans="1:3" x14ac:dyDescent="0.25">
      <c r="A47" t="s">
        <v>290</v>
      </c>
      <c r="B47" t="s">
        <v>291</v>
      </c>
      <c r="C47" t="s">
        <v>292</v>
      </c>
    </row>
    <row r="48" spans="1:3" x14ac:dyDescent="0.25">
      <c r="A48" t="s">
        <v>293</v>
      </c>
      <c r="B48" t="s">
        <v>294</v>
      </c>
      <c r="C48" t="s">
        <v>295</v>
      </c>
    </row>
    <row r="49" spans="1:3" x14ac:dyDescent="0.25">
      <c r="A49" t="s">
        <v>298</v>
      </c>
      <c r="B49" t="s">
        <v>299</v>
      </c>
      <c r="C49" t="s">
        <v>300</v>
      </c>
    </row>
    <row r="50" spans="1:3" x14ac:dyDescent="0.25">
      <c r="A50" t="s">
        <v>303</v>
      </c>
      <c r="B50" t="s">
        <v>304</v>
      </c>
      <c r="C50" t="s">
        <v>305</v>
      </c>
    </row>
    <row r="51" spans="1:3" x14ac:dyDescent="0.25">
      <c r="A51" t="s">
        <v>306</v>
      </c>
      <c r="B51" t="s">
        <v>307</v>
      </c>
      <c r="C51" t="s">
        <v>308</v>
      </c>
    </row>
    <row r="52" spans="1:3" x14ac:dyDescent="0.25">
      <c r="A52" t="s">
        <v>321</v>
      </c>
      <c r="B52" t="s">
        <v>322</v>
      </c>
      <c r="C52" t="s">
        <v>308</v>
      </c>
    </row>
    <row r="53" spans="1:3" x14ac:dyDescent="0.25">
      <c r="A53" t="s">
        <v>312</v>
      </c>
      <c r="B53" t="s">
        <v>313</v>
      </c>
      <c r="C53" t="s">
        <v>314</v>
      </c>
    </row>
    <row r="54" spans="1:3" x14ac:dyDescent="0.25">
      <c r="A54" t="s">
        <v>315</v>
      </c>
      <c r="B54" t="s">
        <v>316</v>
      </c>
      <c r="C54" t="s">
        <v>317</v>
      </c>
    </row>
    <row r="55" spans="1:3" x14ac:dyDescent="0.25">
      <c r="A55" t="s">
        <v>329</v>
      </c>
      <c r="B55" t="s">
        <v>330</v>
      </c>
      <c r="C55" t="s">
        <v>331</v>
      </c>
    </row>
    <row r="56" spans="1:3" x14ac:dyDescent="0.25">
      <c r="A56" t="s">
        <v>326</v>
      </c>
      <c r="B56" t="s">
        <v>327</v>
      </c>
      <c r="C56" t="s">
        <v>328</v>
      </c>
    </row>
    <row r="57" spans="1:3" x14ac:dyDescent="0.25">
      <c r="A57" t="s">
        <v>204</v>
      </c>
      <c r="B57" t="s">
        <v>205</v>
      </c>
      <c r="C57" t="s">
        <v>206</v>
      </c>
    </row>
    <row r="58" spans="1:3" x14ac:dyDescent="0.25">
      <c r="A58" t="s">
        <v>332</v>
      </c>
      <c r="B58" t="s">
        <v>333</v>
      </c>
      <c r="C58" t="s">
        <v>206</v>
      </c>
    </row>
    <row r="59" spans="1:3" x14ac:dyDescent="0.25">
      <c r="A59" t="s">
        <v>334</v>
      </c>
      <c r="B59" t="s">
        <v>335</v>
      </c>
      <c r="C59" t="s">
        <v>206</v>
      </c>
    </row>
    <row r="60" spans="1:3" x14ac:dyDescent="0.25">
      <c r="A60" t="s">
        <v>362</v>
      </c>
      <c r="B60" t="s">
        <v>363</v>
      </c>
      <c r="C60" t="s">
        <v>206</v>
      </c>
    </row>
    <row r="61" spans="1:3" x14ac:dyDescent="0.25">
      <c r="A61" t="s">
        <v>491</v>
      </c>
      <c r="B61" t="s">
        <v>492</v>
      </c>
      <c r="C61" t="s">
        <v>206</v>
      </c>
    </row>
    <row r="62" spans="1:3" x14ac:dyDescent="0.25">
      <c r="A62" t="s">
        <v>323</v>
      </c>
      <c r="B62" t="s">
        <v>324</v>
      </c>
      <c r="C62" t="s">
        <v>325</v>
      </c>
    </row>
    <row r="63" spans="1:3" x14ac:dyDescent="0.25">
      <c r="A63" t="s">
        <v>318</v>
      </c>
      <c r="B63" t="s">
        <v>319</v>
      </c>
      <c r="C63" t="s">
        <v>320</v>
      </c>
    </row>
    <row r="64" spans="1:3" x14ac:dyDescent="0.25">
      <c r="A64" t="s">
        <v>336</v>
      </c>
      <c r="B64" t="s">
        <v>337</v>
      </c>
      <c r="C64" t="s">
        <v>338</v>
      </c>
    </row>
    <row r="65" spans="1:3" x14ac:dyDescent="0.25">
      <c r="A65" t="s">
        <v>272</v>
      </c>
      <c r="B65" t="s">
        <v>273</v>
      </c>
      <c r="C65" t="s">
        <v>274</v>
      </c>
    </row>
    <row r="66" spans="1:3" x14ac:dyDescent="0.25">
      <c r="A66" t="s">
        <v>339</v>
      </c>
      <c r="B66" t="s">
        <v>340</v>
      </c>
      <c r="C66" t="s">
        <v>341</v>
      </c>
    </row>
    <row r="67" spans="1:3" x14ac:dyDescent="0.25">
      <c r="A67" t="s">
        <v>342</v>
      </c>
      <c r="B67" t="s">
        <v>343</v>
      </c>
      <c r="C67" t="s">
        <v>344</v>
      </c>
    </row>
    <row r="68" spans="1:3" x14ac:dyDescent="0.25">
      <c r="A68" t="s">
        <v>348</v>
      </c>
      <c r="B68" t="s">
        <v>349</v>
      </c>
      <c r="C68" t="s">
        <v>350</v>
      </c>
    </row>
    <row r="69" spans="1:3" x14ac:dyDescent="0.25">
      <c r="A69" t="s">
        <v>512</v>
      </c>
      <c r="B69" t="s">
        <v>513</v>
      </c>
      <c r="C69" t="s">
        <v>514</v>
      </c>
    </row>
    <row r="70" spans="1:3" x14ac:dyDescent="0.25">
      <c r="A70" t="s">
        <v>353</v>
      </c>
      <c r="B70" t="s">
        <v>354</v>
      </c>
      <c r="C70" t="s">
        <v>355</v>
      </c>
    </row>
    <row r="71" spans="1:3" x14ac:dyDescent="0.25">
      <c r="A71" t="s">
        <v>372</v>
      </c>
      <c r="B71" t="s">
        <v>373</v>
      </c>
      <c r="C71" t="s">
        <v>374</v>
      </c>
    </row>
    <row r="72" spans="1:3" x14ac:dyDescent="0.25">
      <c r="A72" t="s">
        <v>359</v>
      </c>
      <c r="B72" t="s">
        <v>360</v>
      </c>
      <c r="C72" t="s">
        <v>361</v>
      </c>
    </row>
    <row r="73" spans="1:3" x14ac:dyDescent="0.25">
      <c r="A73" t="s">
        <v>364</v>
      </c>
      <c r="B73" t="s">
        <v>365</v>
      </c>
      <c r="C73" t="s">
        <v>366</v>
      </c>
    </row>
    <row r="74" spans="1:3" x14ac:dyDescent="0.25">
      <c r="A74" t="s">
        <v>367</v>
      </c>
      <c r="B74" t="s">
        <v>368</v>
      </c>
      <c r="C74" t="s">
        <v>369</v>
      </c>
    </row>
    <row r="75" spans="1:3" x14ac:dyDescent="0.25">
      <c r="A75" t="s">
        <v>375</v>
      </c>
      <c r="B75" t="s">
        <v>376</v>
      </c>
      <c r="C75" t="s">
        <v>377</v>
      </c>
    </row>
    <row r="76" spans="1:3" x14ac:dyDescent="0.25">
      <c r="A76" t="s">
        <v>378</v>
      </c>
      <c r="B76" t="s">
        <v>379</v>
      </c>
      <c r="C76" t="s">
        <v>377</v>
      </c>
    </row>
    <row r="77" spans="1:3" x14ac:dyDescent="0.25">
      <c r="A77" t="s">
        <v>450</v>
      </c>
      <c r="B77" t="s">
        <v>451</v>
      </c>
      <c r="C77" t="s">
        <v>452</v>
      </c>
    </row>
    <row r="78" spans="1:3" x14ac:dyDescent="0.25">
      <c r="A78" t="s">
        <v>380</v>
      </c>
      <c r="B78" t="s">
        <v>381</v>
      </c>
      <c r="C78" t="s">
        <v>382</v>
      </c>
    </row>
    <row r="79" spans="1:3" x14ac:dyDescent="0.25">
      <c r="A79" t="s">
        <v>383</v>
      </c>
      <c r="B79" t="s">
        <v>384</v>
      </c>
      <c r="C79" t="s">
        <v>385</v>
      </c>
    </row>
    <row r="80" spans="1:3" x14ac:dyDescent="0.25">
      <c r="A80" t="s">
        <v>386</v>
      </c>
      <c r="B80" t="s">
        <v>387</v>
      </c>
      <c r="C80" t="s">
        <v>388</v>
      </c>
    </row>
    <row r="81" spans="1:3" x14ac:dyDescent="0.25">
      <c r="A81" t="s">
        <v>153</v>
      </c>
      <c r="B81" t="s">
        <v>601</v>
      </c>
      <c r="C81" t="s">
        <v>388</v>
      </c>
    </row>
    <row r="82" spans="1:3" x14ac:dyDescent="0.25">
      <c r="A82" t="s">
        <v>389</v>
      </c>
      <c r="B82" t="s">
        <v>390</v>
      </c>
      <c r="C82" t="s">
        <v>391</v>
      </c>
    </row>
    <row r="83" spans="1:3" x14ac:dyDescent="0.25">
      <c r="A83" t="s">
        <v>398</v>
      </c>
      <c r="B83" t="s">
        <v>399</v>
      </c>
      <c r="C83" t="s">
        <v>400</v>
      </c>
    </row>
    <row r="84" spans="1:3" x14ac:dyDescent="0.25">
      <c r="A84" t="s">
        <v>403</v>
      </c>
      <c r="B84" t="s">
        <v>404</v>
      </c>
      <c r="C84" t="s">
        <v>405</v>
      </c>
    </row>
    <row r="85" spans="1:3" x14ac:dyDescent="0.25">
      <c r="A85" t="s">
        <v>622</v>
      </c>
      <c r="B85" t="s">
        <v>623</v>
      </c>
      <c r="C85" t="s">
        <v>624</v>
      </c>
    </row>
    <row r="86" spans="1:3" x14ac:dyDescent="0.25">
      <c r="A86" t="s">
        <v>406</v>
      </c>
      <c r="B86" t="s">
        <v>407</v>
      </c>
      <c r="C86" t="s">
        <v>408</v>
      </c>
    </row>
    <row r="87" spans="1:3" x14ac:dyDescent="0.25">
      <c r="A87" t="s">
        <v>409</v>
      </c>
      <c r="B87" t="s">
        <v>410</v>
      </c>
      <c r="C87" t="s">
        <v>411</v>
      </c>
    </row>
    <row r="88" spans="1:3" x14ac:dyDescent="0.25">
      <c r="A88" t="s">
        <v>412</v>
      </c>
      <c r="B88" t="s">
        <v>413</v>
      </c>
      <c r="C88" t="s">
        <v>414</v>
      </c>
    </row>
    <row r="89" spans="1:3" x14ac:dyDescent="0.25">
      <c r="A89" t="s">
        <v>415</v>
      </c>
      <c r="B89" t="s">
        <v>416</v>
      </c>
      <c r="C89" t="s">
        <v>417</v>
      </c>
    </row>
    <row r="90" spans="1:3" x14ac:dyDescent="0.25">
      <c r="A90" t="s">
        <v>418</v>
      </c>
      <c r="B90" t="s">
        <v>419</v>
      </c>
      <c r="C90" t="s">
        <v>420</v>
      </c>
    </row>
    <row r="91" spans="1:3" x14ac:dyDescent="0.25">
      <c r="A91" t="s">
        <v>423</v>
      </c>
      <c r="B91" t="s">
        <v>424</v>
      </c>
      <c r="C91" t="s">
        <v>425</v>
      </c>
    </row>
    <row r="92" spans="1:3" x14ac:dyDescent="0.25">
      <c r="A92" t="s">
        <v>555</v>
      </c>
      <c r="B92" t="s">
        <v>556</v>
      </c>
      <c r="C92" t="s">
        <v>557</v>
      </c>
    </row>
    <row r="93" spans="1:3" x14ac:dyDescent="0.25">
      <c r="A93" t="s">
        <v>429</v>
      </c>
      <c r="B93" t="s">
        <v>430</v>
      </c>
      <c r="C93" t="s">
        <v>431</v>
      </c>
    </row>
    <row r="94" spans="1:3" x14ac:dyDescent="0.25">
      <c r="A94" t="s">
        <v>441</v>
      </c>
      <c r="B94" t="s">
        <v>442</v>
      </c>
      <c r="C94" t="s">
        <v>443</v>
      </c>
    </row>
    <row r="95" spans="1:3" x14ac:dyDescent="0.25">
      <c r="A95" t="s">
        <v>432</v>
      </c>
      <c r="B95" t="s">
        <v>433</v>
      </c>
      <c r="C95" t="s">
        <v>434</v>
      </c>
    </row>
    <row r="96" spans="1:3" x14ac:dyDescent="0.25">
      <c r="A96" t="s">
        <v>435</v>
      </c>
      <c r="B96" t="s">
        <v>436</v>
      </c>
      <c r="C96" t="s">
        <v>437</v>
      </c>
    </row>
    <row r="97" spans="1:3" x14ac:dyDescent="0.25">
      <c r="A97" t="s">
        <v>444</v>
      </c>
      <c r="B97" t="s">
        <v>445</v>
      </c>
      <c r="C97" t="s">
        <v>446</v>
      </c>
    </row>
    <row r="98" spans="1:3" x14ac:dyDescent="0.25">
      <c r="A98" t="s">
        <v>447</v>
      </c>
      <c r="B98" t="s">
        <v>448</v>
      </c>
      <c r="C98" t="s">
        <v>449</v>
      </c>
    </row>
    <row r="99" spans="1:3" x14ac:dyDescent="0.25">
      <c r="A99" t="s">
        <v>281</v>
      </c>
      <c r="B99" t="s">
        <v>282</v>
      </c>
      <c r="C99" t="s">
        <v>283</v>
      </c>
    </row>
    <row r="100" spans="1:3" x14ac:dyDescent="0.25">
      <c r="A100" t="s">
        <v>401</v>
      </c>
      <c r="B100" t="s">
        <v>402</v>
      </c>
      <c r="C100" t="s">
        <v>283</v>
      </c>
    </row>
    <row r="101" spans="1:3" x14ac:dyDescent="0.25">
      <c r="A101" t="s">
        <v>510</v>
      </c>
      <c r="B101" t="s">
        <v>511</v>
      </c>
      <c r="C101" t="s">
        <v>283</v>
      </c>
    </row>
    <row r="102" spans="1:3" x14ac:dyDescent="0.25">
      <c r="A102" t="s">
        <v>266</v>
      </c>
      <c r="B102" t="s">
        <v>267</v>
      </c>
      <c r="C102" t="s">
        <v>268</v>
      </c>
    </row>
    <row r="103" spans="1:3" x14ac:dyDescent="0.25">
      <c r="A103" t="s">
        <v>455</v>
      </c>
      <c r="B103" t="s">
        <v>456</v>
      </c>
      <c r="C103" t="s">
        <v>268</v>
      </c>
    </row>
    <row r="104" spans="1:3" x14ac:dyDescent="0.25">
      <c r="A104" t="s">
        <v>457</v>
      </c>
      <c r="B104" t="s">
        <v>458</v>
      </c>
      <c r="C104" t="s">
        <v>459</v>
      </c>
    </row>
    <row r="105" spans="1:3" x14ac:dyDescent="0.25">
      <c r="A105" t="s">
        <v>460</v>
      </c>
      <c r="B105" t="s">
        <v>461</v>
      </c>
      <c r="C105" t="s">
        <v>462</v>
      </c>
    </row>
    <row r="106" spans="1:3" x14ac:dyDescent="0.25">
      <c r="A106" t="s">
        <v>438</v>
      </c>
      <c r="B106" t="s">
        <v>439</v>
      </c>
      <c r="C106" t="s">
        <v>440</v>
      </c>
    </row>
    <row r="107" spans="1:3" x14ac:dyDescent="0.25">
      <c r="A107" t="s">
        <v>463</v>
      </c>
      <c r="B107" t="s">
        <v>464</v>
      </c>
      <c r="C107" t="s">
        <v>465</v>
      </c>
    </row>
    <row r="108" spans="1:3" x14ac:dyDescent="0.25">
      <c r="A108" t="s">
        <v>466</v>
      </c>
      <c r="B108" t="s">
        <v>467</v>
      </c>
      <c r="C108" t="s">
        <v>468</v>
      </c>
    </row>
    <row r="109" spans="1:3" x14ac:dyDescent="0.25">
      <c r="A109" t="s">
        <v>471</v>
      </c>
      <c r="B109" t="s">
        <v>472</v>
      </c>
      <c r="C109" t="s">
        <v>473</v>
      </c>
    </row>
    <row r="110" spans="1:3" x14ac:dyDescent="0.25">
      <c r="A110" t="s">
        <v>474</v>
      </c>
      <c r="B110" t="s">
        <v>475</v>
      </c>
      <c r="C110" t="s">
        <v>476</v>
      </c>
    </row>
    <row r="111" spans="1:3" x14ac:dyDescent="0.25">
      <c r="A111" t="s">
        <v>480</v>
      </c>
      <c r="B111" t="s">
        <v>481</v>
      </c>
      <c r="C111" t="s">
        <v>482</v>
      </c>
    </row>
    <row r="112" spans="1:3" x14ac:dyDescent="0.25">
      <c r="A112" t="s">
        <v>486</v>
      </c>
      <c r="B112" t="s">
        <v>487</v>
      </c>
      <c r="C112" t="s">
        <v>488</v>
      </c>
    </row>
    <row r="113" spans="1:3" x14ac:dyDescent="0.25">
      <c r="A113" t="s">
        <v>493</v>
      </c>
      <c r="B113" t="s">
        <v>494</v>
      </c>
      <c r="C113" t="s">
        <v>495</v>
      </c>
    </row>
    <row r="114" spans="1:3" x14ac:dyDescent="0.25">
      <c r="A114" t="s">
        <v>483</v>
      </c>
      <c r="B114" t="s">
        <v>484</v>
      </c>
      <c r="C114" t="s">
        <v>485</v>
      </c>
    </row>
    <row r="115" spans="1:3" x14ac:dyDescent="0.25">
      <c r="A115" t="s">
        <v>496</v>
      </c>
      <c r="B115" t="s">
        <v>497</v>
      </c>
      <c r="C115" t="s">
        <v>498</v>
      </c>
    </row>
    <row r="116" spans="1:3" x14ac:dyDescent="0.25">
      <c r="A116" t="s">
        <v>499</v>
      </c>
      <c r="B116" t="s">
        <v>500</v>
      </c>
      <c r="C116" t="s">
        <v>501</v>
      </c>
    </row>
    <row r="117" spans="1:3" x14ac:dyDescent="0.25">
      <c r="A117" t="s">
        <v>395</v>
      </c>
      <c r="B117" t="s">
        <v>396</v>
      </c>
      <c r="C117" t="s">
        <v>397</v>
      </c>
    </row>
    <row r="118" spans="1:3" x14ac:dyDescent="0.25">
      <c r="A118" t="s">
        <v>504</v>
      </c>
      <c r="B118" t="s">
        <v>505</v>
      </c>
      <c r="C118" t="s">
        <v>506</v>
      </c>
    </row>
    <row r="119" spans="1:3" x14ac:dyDescent="0.25">
      <c r="A119" t="s">
        <v>507</v>
      </c>
      <c r="B119" t="s">
        <v>508</v>
      </c>
      <c r="C119" t="s">
        <v>509</v>
      </c>
    </row>
    <row r="120" spans="1:3" x14ac:dyDescent="0.25">
      <c r="A120" t="s">
        <v>515</v>
      </c>
      <c r="B120" t="s">
        <v>516</v>
      </c>
      <c r="C120" t="s">
        <v>517</v>
      </c>
    </row>
    <row r="121" spans="1:3" x14ac:dyDescent="0.25">
      <c r="A121" t="s">
        <v>526</v>
      </c>
      <c r="B121" t="s">
        <v>527</v>
      </c>
      <c r="C121" t="s">
        <v>528</v>
      </c>
    </row>
    <row r="122" spans="1:3" x14ac:dyDescent="0.25">
      <c r="A122" t="s">
        <v>529</v>
      </c>
      <c r="B122" t="s">
        <v>530</v>
      </c>
      <c r="C122" t="s">
        <v>531</v>
      </c>
    </row>
    <row r="123" spans="1:3" x14ac:dyDescent="0.25">
      <c r="A123" t="s">
        <v>521</v>
      </c>
      <c r="B123" t="s">
        <v>522</v>
      </c>
      <c r="C123" t="s">
        <v>523</v>
      </c>
    </row>
    <row r="124" spans="1:3" x14ac:dyDescent="0.25">
      <c r="A124" t="s">
        <v>564</v>
      </c>
      <c r="B124" t="s">
        <v>565</v>
      </c>
      <c r="C124" t="s">
        <v>566</v>
      </c>
    </row>
    <row r="125" spans="1:3" x14ac:dyDescent="0.25">
      <c r="A125" t="s">
        <v>535</v>
      </c>
      <c r="B125" t="s">
        <v>536</v>
      </c>
      <c r="C125" t="s">
        <v>537</v>
      </c>
    </row>
    <row r="126" spans="1:3" x14ac:dyDescent="0.25">
      <c r="A126" t="s">
        <v>543</v>
      </c>
      <c r="B126" t="s">
        <v>544</v>
      </c>
      <c r="C126" t="s">
        <v>545</v>
      </c>
    </row>
    <row r="127" spans="1:3" x14ac:dyDescent="0.25">
      <c r="A127" t="s">
        <v>356</v>
      </c>
      <c r="B127" t="s">
        <v>357</v>
      </c>
      <c r="C127" t="s">
        <v>358</v>
      </c>
    </row>
    <row r="128" spans="1:3" x14ac:dyDescent="0.25">
      <c r="A128" t="s">
        <v>370</v>
      </c>
      <c r="B128" t="s">
        <v>371</v>
      </c>
      <c r="C128" t="s">
        <v>358</v>
      </c>
    </row>
    <row r="129" spans="1:3" x14ac:dyDescent="0.25">
      <c r="A129" t="s">
        <v>546</v>
      </c>
      <c r="B129" t="s">
        <v>547</v>
      </c>
      <c r="C129" t="s">
        <v>548</v>
      </c>
    </row>
    <row r="130" spans="1:3" x14ac:dyDescent="0.25">
      <c r="A130" t="s">
        <v>549</v>
      </c>
      <c r="B130" t="s">
        <v>550</v>
      </c>
      <c r="C130" t="s">
        <v>551</v>
      </c>
    </row>
    <row r="131" spans="1:3" x14ac:dyDescent="0.25">
      <c r="A131" t="s">
        <v>552</v>
      </c>
      <c r="B131" t="s">
        <v>553</v>
      </c>
      <c r="C131" t="s">
        <v>554</v>
      </c>
    </row>
    <row r="132" spans="1:3" x14ac:dyDescent="0.25">
      <c r="A132" t="s">
        <v>532</v>
      </c>
      <c r="B132" t="s">
        <v>533</v>
      </c>
      <c r="C132" t="s">
        <v>534</v>
      </c>
    </row>
    <row r="133" spans="1:3" x14ac:dyDescent="0.25">
      <c r="A133" t="s">
        <v>575</v>
      </c>
      <c r="B133" t="s">
        <v>576</v>
      </c>
      <c r="C133" t="s">
        <v>534</v>
      </c>
    </row>
    <row r="134" spans="1:3" x14ac:dyDescent="0.25">
      <c r="A134" t="s">
        <v>538</v>
      </c>
      <c r="B134" t="s">
        <v>539</v>
      </c>
      <c r="C134" t="s">
        <v>540</v>
      </c>
    </row>
    <row r="135" spans="1:3" x14ac:dyDescent="0.25">
      <c r="A135" t="s">
        <v>558</v>
      </c>
      <c r="B135" t="s">
        <v>559</v>
      </c>
      <c r="C135" t="s">
        <v>560</v>
      </c>
    </row>
    <row r="136" spans="1:3" x14ac:dyDescent="0.25">
      <c r="A136" t="s">
        <v>561</v>
      </c>
      <c r="B136" t="s">
        <v>562</v>
      </c>
      <c r="C136" t="s">
        <v>563</v>
      </c>
    </row>
    <row r="137" spans="1:3" x14ac:dyDescent="0.25">
      <c r="A137" t="s">
        <v>392</v>
      </c>
      <c r="B137" t="s">
        <v>393</v>
      </c>
      <c r="C137" t="s">
        <v>394</v>
      </c>
    </row>
    <row r="138" spans="1:3" x14ac:dyDescent="0.25">
      <c r="A138" t="s">
        <v>567</v>
      </c>
      <c r="B138" t="s">
        <v>568</v>
      </c>
      <c r="C138" t="s">
        <v>394</v>
      </c>
    </row>
    <row r="139" spans="1:3" x14ac:dyDescent="0.25">
      <c r="A139" t="s">
        <v>577</v>
      </c>
      <c r="B139" t="s">
        <v>578</v>
      </c>
      <c r="C139" t="s">
        <v>394</v>
      </c>
    </row>
    <row r="140" spans="1:3" x14ac:dyDescent="0.25">
      <c r="A140" t="s">
        <v>572</v>
      </c>
      <c r="B140" t="s">
        <v>573</v>
      </c>
      <c r="C140" t="s">
        <v>574</v>
      </c>
    </row>
    <row r="141" spans="1:3" x14ac:dyDescent="0.25">
      <c r="A141" t="s">
        <v>569</v>
      </c>
      <c r="B141" t="s">
        <v>570</v>
      </c>
      <c r="C141" t="s">
        <v>571</v>
      </c>
    </row>
    <row r="142" spans="1:3" x14ac:dyDescent="0.25">
      <c r="A142" t="s">
        <v>199</v>
      </c>
      <c r="B142" t="s">
        <v>200</v>
      </c>
      <c r="C142" t="s">
        <v>201</v>
      </c>
    </row>
    <row r="143" spans="1:3" x14ac:dyDescent="0.25">
      <c r="A143" t="s">
        <v>202</v>
      </c>
      <c r="B143" t="s">
        <v>203</v>
      </c>
      <c r="C143" t="s">
        <v>201</v>
      </c>
    </row>
    <row r="144" spans="1:3" x14ac:dyDescent="0.25">
      <c r="A144" t="s">
        <v>296</v>
      </c>
      <c r="B144" t="s">
        <v>297</v>
      </c>
      <c r="C144" t="s">
        <v>201</v>
      </c>
    </row>
    <row r="145" spans="1:3" x14ac:dyDescent="0.25">
      <c r="A145" t="s">
        <v>524</v>
      </c>
      <c r="B145" t="s">
        <v>525</v>
      </c>
      <c r="C145" t="s">
        <v>201</v>
      </c>
    </row>
    <row r="146" spans="1:3" x14ac:dyDescent="0.25">
      <c r="A146" t="s">
        <v>581</v>
      </c>
      <c r="B146" t="s">
        <v>582</v>
      </c>
      <c r="C146" t="s">
        <v>201</v>
      </c>
    </row>
    <row r="147" spans="1:3" x14ac:dyDescent="0.25">
      <c r="A147" t="s">
        <v>583</v>
      </c>
      <c r="B147" t="s">
        <v>584</v>
      </c>
      <c r="C147" t="s">
        <v>585</v>
      </c>
    </row>
    <row r="148" spans="1:3" x14ac:dyDescent="0.25">
      <c r="A148" t="s">
        <v>243</v>
      </c>
      <c r="B148" t="s">
        <v>244</v>
      </c>
      <c r="C148" t="s">
        <v>245</v>
      </c>
    </row>
    <row r="149" spans="1:3" x14ac:dyDescent="0.25">
      <c r="A149" t="s">
        <v>586</v>
      </c>
      <c r="B149" t="s">
        <v>587</v>
      </c>
      <c r="C149" t="s">
        <v>245</v>
      </c>
    </row>
    <row r="150" spans="1:3" x14ac:dyDescent="0.25">
      <c r="A150" t="s">
        <v>588</v>
      </c>
      <c r="B150" t="s">
        <v>589</v>
      </c>
      <c r="C150" t="s">
        <v>590</v>
      </c>
    </row>
    <row r="151" spans="1:3" x14ac:dyDescent="0.25">
      <c r="A151" t="s">
        <v>228</v>
      </c>
      <c r="B151" t="s">
        <v>229</v>
      </c>
      <c r="C151" t="s">
        <v>230</v>
      </c>
    </row>
    <row r="152" spans="1:3" x14ac:dyDescent="0.25">
      <c r="A152" t="s">
        <v>591</v>
      </c>
      <c r="B152" t="s">
        <v>592</v>
      </c>
      <c r="C152" t="s">
        <v>230</v>
      </c>
    </row>
    <row r="153" spans="1:3" x14ac:dyDescent="0.25">
      <c r="A153" t="s">
        <v>593</v>
      </c>
      <c r="B153" t="s">
        <v>594</v>
      </c>
      <c r="C153" t="s">
        <v>595</v>
      </c>
    </row>
    <row r="154" spans="1:3" x14ac:dyDescent="0.25">
      <c r="A154" t="s">
        <v>309</v>
      </c>
      <c r="B154" t="s">
        <v>310</v>
      </c>
      <c r="C154" t="s">
        <v>311</v>
      </c>
    </row>
    <row r="155" spans="1:3" x14ac:dyDescent="0.25">
      <c r="A155" t="s">
        <v>596</v>
      </c>
      <c r="B155" t="s">
        <v>597</v>
      </c>
      <c r="C155" t="s">
        <v>311</v>
      </c>
    </row>
    <row r="156" spans="1:3" x14ac:dyDescent="0.25">
      <c r="A156" t="s">
        <v>605</v>
      </c>
      <c r="B156" t="s">
        <v>606</v>
      </c>
      <c r="C156" t="s">
        <v>607</v>
      </c>
    </row>
    <row r="157" spans="1:3" x14ac:dyDescent="0.25">
      <c r="A157" t="s">
        <v>598</v>
      </c>
      <c r="B157" t="s">
        <v>599</v>
      </c>
      <c r="C157" t="s">
        <v>600</v>
      </c>
    </row>
    <row r="158" spans="1:3" x14ac:dyDescent="0.25">
      <c r="A158" t="s">
        <v>602</v>
      </c>
      <c r="B158" t="s">
        <v>603</v>
      </c>
      <c r="C158" t="s">
        <v>604</v>
      </c>
    </row>
    <row r="159" spans="1:3" x14ac:dyDescent="0.25">
      <c r="A159" t="s">
        <v>608</v>
      </c>
      <c r="B159" t="s">
        <v>609</v>
      </c>
      <c r="C159" t="s">
        <v>610</v>
      </c>
    </row>
    <row r="160" spans="1:3" x14ac:dyDescent="0.25">
      <c r="A160" t="s">
        <v>619</v>
      </c>
      <c r="B160" t="s">
        <v>620</v>
      </c>
      <c r="C160" t="s">
        <v>621</v>
      </c>
    </row>
    <row r="161" spans="1:3" x14ac:dyDescent="0.25">
      <c r="A161" t="s">
        <v>627</v>
      </c>
      <c r="B161" t="s">
        <v>628</v>
      </c>
      <c r="C161" t="s">
        <v>629</v>
      </c>
    </row>
    <row r="162" spans="1:3" x14ac:dyDescent="0.25">
      <c r="A162" t="s">
        <v>630</v>
      </c>
      <c r="B162" t="s">
        <v>631</v>
      </c>
      <c r="C162" t="s">
        <v>632</v>
      </c>
    </row>
    <row r="163" spans="1:3" x14ac:dyDescent="0.25">
      <c r="A163" t="s">
        <v>168</v>
      </c>
      <c r="B163" t="s">
        <v>169</v>
      </c>
    </row>
    <row r="164" spans="1:3" x14ac:dyDescent="0.25">
      <c r="A164" t="s">
        <v>170</v>
      </c>
      <c r="B164" t="s">
        <v>171</v>
      </c>
    </row>
    <row r="165" spans="1:3" x14ac:dyDescent="0.25">
      <c r="A165" t="s">
        <v>172</v>
      </c>
      <c r="B165" t="s">
        <v>173</v>
      </c>
    </row>
    <row r="166" spans="1:3" x14ac:dyDescent="0.25">
      <c r="A166" t="s">
        <v>174</v>
      </c>
      <c r="B166" t="s">
        <v>175</v>
      </c>
    </row>
    <row r="167" spans="1:3" x14ac:dyDescent="0.25">
      <c r="A167" t="s">
        <v>194</v>
      </c>
      <c r="B167" t="s">
        <v>195</v>
      </c>
    </row>
    <row r="168" spans="1:3" x14ac:dyDescent="0.25">
      <c r="A168" t="s">
        <v>351</v>
      </c>
      <c r="B168" t="s">
        <v>352</v>
      </c>
    </row>
    <row r="169" spans="1:3" x14ac:dyDescent="0.25">
      <c r="A169" t="s">
        <v>469</v>
      </c>
      <c r="B169" t="s">
        <v>470</v>
      </c>
    </row>
    <row r="170" spans="1:3" x14ac:dyDescent="0.25">
      <c r="A170" t="s">
        <v>617</v>
      </c>
      <c r="B170" t="s">
        <v>618</v>
      </c>
    </row>
    <row r="171" spans="1:3" x14ac:dyDescent="0.25">
      <c r="A171" t="s">
        <v>633</v>
      </c>
      <c r="B171" t="s">
        <v>634</v>
      </c>
    </row>
    <row r="172" spans="1:3" x14ac:dyDescent="0.25">
      <c r="A172" t="s">
        <v>635</v>
      </c>
      <c r="B172" t="s">
        <v>636</v>
      </c>
    </row>
    <row r="173" spans="1:3" x14ac:dyDescent="0.25">
      <c r="A173" t="s">
        <v>637</v>
      </c>
      <c r="B173" t="s">
        <v>638</v>
      </c>
    </row>
    <row r="174" spans="1:3" x14ac:dyDescent="0.25">
      <c r="A174" t="s">
        <v>639</v>
      </c>
      <c r="B174" t="s">
        <v>640</v>
      </c>
    </row>
    <row r="175" spans="1:3" x14ac:dyDescent="0.25">
      <c r="A175" t="s">
        <v>641</v>
      </c>
      <c r="B175" t="s">
        <v>642</v>
      </c>
    </row>
    <row r="176" spans="1:3" x14ac:dyDescent="0.25">
      <c r="A176" t="s">
        <v>643</v>
      </c>
      <c r="B176" t="s">
        <v>644</v>
      </c>
    </row>
    <row r="177" spans="1:2" x14ac:dyDescent="0.25">
      <c r="A177" t="s">
        <v>645</v>
      </c>
      <c r="B177" t="s">
        <v>646</v>
      </c>
    </row>
    <row r="178" spans="1:2" x14ac:dyDescent="0.25">
      <c r="A178" t="s">
        <v>647</v>
      </c>
      <c r="B178" t="s">
        <v>648</v>
      </c>
    </row>
    <row r="179" spans="1:2" x14ac:dyDescent="0.25">
      <c r="A179" t="s">
        <v>649</v>
      </c>
      <c r="B179" t="s">
        <v>650</v>
      </c>
    </row>
    <row r="180" spans="1:2" x14ac:dyDescent="0.25">
      <c r="A180" t="s">
        <v>651</v>
      </c>
      <c r="B180" t="s">
        <v>652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8" tint="-0.249977111117893"/>
    <pageSetUpPr autoPageBreaks="0"/>
  </sheetPr>
  <dimension ref="A1:FB6"/>
  <sheetViews>
    <sheetView tabSelected="1" zoomScale="85" zoomScaleNormal="85" workbookViewId="0">
      <pane ySplit="2" topLeftCell="A3" activePane="bottomLeft" state="frozen"/>
      <selection activeCell="J19" sqref="J19"/>
      <selection pane="bottomLeft" activeCell="G1" sqref="G1"/>
    </sheetView>
  </sheetViews>
  <sheetFormatPr defaultColWidth="9.140625" defaultRowHeight="12" outlineLevelCol="1" x14ac:dyDescent="0.2"/>
  <cols>
    <col min="1" max="1" width="10.5703125" style="3" customWidth="1"/>
    <col min="2" max="5" width="5.85546875" style="3" hidden="1" customWidth="1" outlineLevel="1"/>
    <col min="6" max="6" width="16.5703125" style="2" customWidth="1" collapsed="1"/>
    <col min="7" max="9" width="9.140625" style="2" customWidth="1"/>
    <col min="10" max="10" width="6.5703125" style="2" customWidth="1"/>
    <col min="11" max="11" width="2.42578125" style="2" customWidth="1"/>
    <col min="12" max="27" width="6.85546875" style="2" hidden="1" customWidth="1" outlineLevel="1"/>
    <col min="28" max="28" width="8.28515625" style="2" customWidth="1" collapsed="1"/>
    <col min="29" max="34" width="3.85546875" style="2" hidden="1" customWidth="1" outlineLevel="1"/>
    <col min="35" max="39" width="3.85546875" style="1" hidden="1" customWidth="1" outlineLevel="1"/>
    <col min="40" max="40" width="10.5703125" style="1" customWidth="1" collapsed="1"/>
    <col min="41" max="71" width="2.5703125" style="2" hidden="1" customWidth="1" outlineLevel="1"/>
    <col min="72" max="72" width="10.5703125" style="2" customWidth="1" collapsed="1"/>
    <col min="73" max="91" width="6.28515625" style="2" hidden="1" customWidth="1" outlineLevel="1"/>
    <col min="92" max="92" width="20.7109375" style="2" customWidth="1" collapsed="1"/>
    <col min="93" max="93" width="11.28515625" style="2" customWidth="1"/>
    <col min="94" max="94" width="5.42578125" style="2" customWidth="1"/>
    <col min="95" max="95" width="7.140625" style="2" customWidth="1"/>
    <col min="96" max="96" width="8" style="4" hidden="1" customWidth="1" outlineLevel="1"/>
    <col min="97" max="100" width="6.5703125" style="4" hidden="1" customWidth="1" outlineLevel="1"/>
    <col min="101" max="101" width="7.7109375" style="4" customWidth="1" collapsed="1"/>
    <col min="102" max="102" width="10.28515625" style="1" customWidth="1"/>
    <col min="103" max="104" width="6.140625" style="6" hidden="1" customWidth="1" outlineLevel="1"/>
    <col min="105" max="105" width="10" style="6" hidden="1" customWidth="1" outlineLevel="1"/>
    <col min="106" max="106" width="6.140625" style="4" hidden="1" customWidth="1" outlineLevel="1"/>
    <col min="107" max="107" width="8.140625" style="2" customWidth="1" collapsed="1"/>
    <col min="108" max="110" width="7.140625" style="2" customWidth="1"/>
    <col min="111" max="111" width="7.140625" style="4" customWidth="1"/>
    <col min="112" max="112" width="9.42578125" style="5" hidden="1" customWidth="1" outlineLevel="1"/>
    <col min="113" max="113" width="6.42578125" style="2" hidden="1" customWidth="1" outlineLevel="1"/>
    <col min="114" max="114" width="9.7109375" style="5" hidden="1" customWidth="1" outlineLevel="1"/>
    <col min="115" max="115" width="7.140625" style="2" hidden="1" customWidth="1" outlineLevel="1"/>
    <col min="116" max="116" width="9.7109375" style="5" hidden="1" customWidth="1" outlineLevel="1"/>
    <col min="117" max="117" width="7.140625" style="14" hidden="1" customWidth="1" outlineLevel="1"/>
    <col min="118" max="118" width="9.7109375" style="44" hidden="1" customWidth="1" outlineLevel="1"/>
    <col min="119" max="120" width="7.140625" style="6" hidden="1" customWidth="1" outlineLevel="1"/>
    <col min="121" max="122" width="7.140625" style="2" hidden="1" customWidth="1" outlineLevel="1"/>
    <col min="123" max="123" width="7.140625" style="4" customWidth="1" collapsed="1"/>
    <col min="124" max="124" width="3" style="14" customWidth="1"/>
    <col min="125" max="126" width="4.7109375" style="2" hidden="1" customWidth="1" outlineLevel="1"/>
    <col min="127" max="142" width="4.7109375" style="1" hidden="1" customWidth="1" outlineLevel="1"/>
    <col min="143" max="143" width="16.140625" style="2" customWidth="1" collapsed="1"/>
    <col min="144" max="157" width="8.7109375" style="1" hidden="1" customWidth="1" outlineLevel="1"/>
    <col min="158" max="158" width="7.85546875" style="1" customWidth="1" collapsed="1"/>
    <col min="159" max="16384" width="9.140625" style="1"/>
  </cols>
  <sheetData>
    <row r="1" spans="1:158" s="30" customFormat="1" ht="36" customHeight="1" thickBot="1" x14ac:dyDescent="0.35">
      <c r="A1" s="49" t="s">
        <v>93</v>
      </c>
      <c r="B1" s="92" t="b">
        <v>1</v>
      </c>
      <c r="C1" s="92" t="b">
        <v>1</v>
      </c>
      <c r="D1" s="92" t="b">
        <v>1</v>
      </c>
      <c r="E1" s="92" t="b">
        <v>1</v>
      </c>
      <c r="F1" s="61" t="s">
        <v>687</v>
      </c>
      <c r="G1" s="58"/>
      <c r="H1" s="57"/>
      <c r="I1" s="57"/>
      <c r="J1" s="62"/>
      <c r="K1" s="67" t="s">
        <v>698</v>
      </c>
      <c r="L1" s="60" t="s">
        <v>664</v>
      </c>
      <c r="M1" s="47"/>
      <c r="N1" s="47"/>
      <c r="O1" s="47"/>
      <c r="P1" s="90" t="s">
        <v>155</v>
      </c>
      <c r="Q1" s="96">
        <f ca="1">TODAY()</f>
        <v>43801</v>
      </c>
      <c r="R1" s="97"/>
      <c r="S1" s="52" t="s">
        <v>694</v>
      </c>
      <c r="T1" s="47"/>
      <c r="U1" s="47"/>
      <c r="V1" s="51" t="str">
        <f>IFERROR(IF(_xlfn.CONCAT(CQ3:CQ1048576)="","GO!","Vendor Data Alerts"),"Vendor Data Alerts")</f>
        <v>GO!</v>
      </c>
      <c r="W1" s="91"/>
      <c r="X1" s="91"/>
      <c r="Y1" s="51" t="str">
        <f>IF(OR(COUNTIF(SageData!AT:AT,"#N/A")&gt;0,COUNTIF(SageData!AT:AT,"___multiple lookups")&gt;0,COUNTIF(SageData!AT:AT,"__Conflict")&gt;0,COUNTIF(SageData!AT:AT,"#DIV/0!")&gt;0),"Sage Data Alerts","GO!")</f>
        <v>GO!</v>
      </c>
      <c r="Z1" s="47"/>
      <c r="AA1" s="47"/>
      <c r="AB1" s="39" t="s">
        <v>137</v>
      </c>
      <c r="AC1" s="64" t="s">
        <v>111</v>
      </c>
      <c r="AD1" s="64"/>
      <c r="AE1" s="65"/>
      <c r="AF1" s="65"/>
      <c r="AG1" s="65"/>
      <c r="AH1" s="65"/>
      <c r="AI1" s="20"/>
      <c r="AJ1" s="20"/>
      <c r="AK1" s="20"/>
      <c r="AL1" s="20"/>
      <c r="AM1" s="20"/>
      <c r="AN1" s="21" t="s">
        <v>111</v>
      </c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  <c r="BK1" s="22"/>
      <c r="BL1" s="22"/>
      <c r="BM1" s="22"/>
      <c r="BN1" s="22"/>
      <c r="BO1" s="22"/>
      <c r="BP1" s="22"/>
      <c r="BQ1" s="22"/>
      <c r="BR1" s="22"/>
      <c r="BS1" s="22"/>
      <c r="BT1" s="23" t="s">
        <v>116</v>
      </c>
      <c r="BU1" s="12" t="s">
        <v>115</v>
      </c>
      <c r="BV1" s="22"/>
      <c r="BW1" s="22"/>
      <c r="BX1" s="22"/>
      <c r="BY1" s="22"/>
      <c r="BZ1" s="22"/>
      <c r="CA1" s="12"/>
      <c r="CB1" s="12"/>
      <c r="CC1" s="12"/>
      <c r="CD1" s="12"/>
      <c r="CE1" s="12"/>
      <c r="CF1" s="22"/>
      <c r="CG1" s="22"/>
      <c r="CH1" s="22"/>
      <c r="CI1" s="22"/>
      <c r="CJ1" s="22"/>
      <c r="CK1" s="22"/>
      <c r="CL1" s="22"/>
      <c r="CM1" s="22"/>
      <c r="CN1" s="40" t="s">
        <v>115</v>
      </c>
      <c r="CO1" s="54" t="s">
        <v>692</v>
      </c>
      <c r="CP1" s="55" t="s">
        <v>700</v>
      </c>
      <c r="CQ1" s="41" t="s">
        <v>655</v>
      </c>
      <c r="CR1" s="87" t="s">
        <v>118</v>
      </c>
      <c r="CS1" s="86"/>
      <c r="CT1" s="86"/>
      <c r="CU1" s="86"/>
      <c r="CV1" s="86"/>
      <c r="CW1" s="84" t="s">
        <v>118</v>
      </c>
      <c r="CX1" s="46" t="s">
        <v>683</v>
      </c>
      <c r="CY1" s="10" t="s">
        <v>42</v>
      </c>
      <c r="CZ1" s="10"/>
      <c r="DA1" s="24"/>
      <c r="DB1" s="25"/>
      <c r="DC1" s="59" t="s">
        <v>42</v>
      </c>
      <c r="DD1" s="13" t="s">
        <v>114</v>
      </c>
      <c r="DE1" s="22"/>
      <c r="DF1" s="22"/>
      <c r="DG1" s="88"/>
      <c r="DH1" s="32"/>
      <c r="DI1" s="22"/>
      <c r="DJ1" s="32"/>
      <c r="DK1" s="22"/>
      <c r="DL1" s="32"/>
      <c r="DM1" s="26"/>
      <c r="DN1" s="42"/>
      <c r="DO1" s="36"/>
      <c r="DP1" s="36"/>
      <c r="DQ1" s="22"/>
      <c r="DR1" s="22"/>
      <c r="DS1" s="88"/>
      <c r="DT1" s="31" t="s">
        <v>139</v>
      </c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  <c r="EL1" s="27"/>
      <c r="EM1" s="27" t="s">
        <v>43</v>
      </c>
      <c r="EN1" s="28" t="s">
        <v>117</v>
      </c>
      <c r="EO1" s="28"/>
      <c r="EP1" s="28"/>
      <c r="EQ1" s="28"/>
      <c r="ER1" s="28"/>
      <c r="ES1" s="29"/>
      <c r="ET1" s="8" t="s">
        <v>113</v>
      </c>
      <c r="EU1" s="7"/>
      <c r="EV1" s="9"/>
      <c r="EW1" s="8"/>
      <c r="EX1" s="8"/>
      <c r="EY1" s="8"/>
      <c r="EZ1" s="8"/>
      <c r="FA1" s="8"/>
      <c r="FB1" s="50" t="s">
        <v>656</v>
      </c>
    </row>
    <row r="2" spans="1:158" s="19" customFormat="1" ht="33.75" customHeight="1" x14ac:dyDescent="0.25">
      <c r="A2" s="93" t="s">
        <v>18</v>
      </c>
      <c r="B2" s="94" t="s">
        <v>61</v>
      </c>
      <c r="C2" s="94" t="s">
        <v>19</v>
      </c>
      <c r="D2" s="94" t="s">
        <v>20</v>
      </c>
      <c r="E2" s="94" t="s">
        <v>64</v>
      </c>
      <c r="F2" s="16" t="s">
        <v>714</v>
      </c>
      <c r="G2" s="16" t="s">
        <v>665</v>
      </c>
      <c r="H2" s="15" t="s">
        <v>666</v>
      </c>
      <c r="I2" s="16" t="s">
        <v>667</v>
      </c>
      <c r="J2" s="63" t="s">
        <v>668</v>
      </c>
      <c r="K2" s="67" t="s">
        <v>698</v>
      </c>
      <c r="L2" s="15" t="s">
        <v>669</v>
      </c>
      <c r="M2" s="15" t="s">
        <v>22</v>
      </c>
      <c r="N2" s="15" t="s">
        <v>62</v>
      </c>
      <c r="O2" s="15" t="s">
        <v>21</v>
      </c>
      <c r="P2" s="15" t="s">
        <v>92</v>
      </c>
      <c r="Q2" s="15" t="s">
        <v>103</v>
      </c>
      <c r="R2" s="15" t="s">
        <v>104</v>
      </c>
      <c r="S2" s="15" t="s">
        <v>105</v>
      </c>
      <c r="T2" s="15" t="s">
        <v>106</v>
      </c>
      <c r="U2" s="15" t="s">
        <v>107</v>
      </c>
      <c r="V2" s="15" t="s">
        <v>102</v>
      </c>
      <c r="W2" s="15" t="s">
        <v>110</v>
      </c>
      <c r="X2" s="15" t="s">
        <v>682</v>
      </c>
      <c r="Y2" s="15" t="s">
        <v>108</v>
      </c>
      <c r="Z2" s="15" t="s">
        <v>703</v>
      </c>
      <c r="AA2" s="15" t="s">
        <v>704</v>
      </c>
      <c r="AB2" s="15" t="s">
        <v>659</v>
      </c>
      <c r="AC2" s="66" t="s">
        <v>653</v>
      </c>
      <c r="AD2" s="66" t="s">
        <v>157</v>
      </c>
      <c r="AE2" s="66" t="s">
        <v>156</v>
      </c>
      <c r="AF2" s="66" t="s">
        <v>159</v>
      </c>
      <c r="AG2" s="66" t="s">
        <v>158</v>
      </c>
      <c r="AH2" s="66" t="s">
        <v>161</v>
      </c>
      <c r="AI2" s="66" t="s">
        <v>160</v>
      </c>
      <c r="AJ2" s="66" t="s">
        <v>163</v>
      </c>
      <c r="AK2" s="66" t="s">
        <v>162</v>
      </c>
      <c r="AL2" s="66" t="s">
        <v>165</v>
      </c>
      <c r="AM2" s="66" t="s">
        <v>164</v>
      </c>
      <c r="AN2" s="68" t="s">
        <v>94</v>
      </c>
      <c r="AO2" s="17" t="s">
        <v>26</v>
      </c>
      <c r="AP2" s="17" t="s">
        <v>25</v>
      </c>
      <c r="AQ2" s="17" t="s">
        <v>27</v>
      </c>
      <c r="AR2" s="17" t="s">
        <v>28</v>
      </c>
      <c r="AS2" s="17" t="s">
        <v>65</v>
      </c>
      <c r="AT2" s="17" t="s">
        <v>29</v>
      </c>
      <c r="AU2" s="17" t="s">
        <v>30</v>
      </c>
      <c r="AV2" s="17" t="s">
        <v>31</v>
      </c>
      <c r="AW2" s="17" t="s">
        <v>32</v>
      </c>
      <c r="AX2" s="17" t="s">
        <v>66</v>
      </c>
      <c r="AY2" s="17" t="s">
        <v>33</v>
      </c>
      <c r="AZ2" s="17" t="s">
        <v>34</v>
      </c>
      <c r="BA2" s="17" t="s">
        <v>24</v>
      </c>
      <c r="BB2" s="17" t="s">
        <v>35</v>
      </c>
      <c r="BC2" s="17" t="s">
        <v>67</v>
      </c>
      <c r="BD2" s="17" t="s">
        <v>36</v>
      </c>
      <c r="BE2" s="17" t="s">
        <v>37</v>
      </c>
      <c r="BF2" s="17" t="s">
        <v>38</v>
      </c>
      <c r="BG2" s="17" t="s">
        <v>45</v>
      </c>
      <c r="BH2" s="17" t="s">
        <v>68</v>
      </c>
      <c r="BI2" s="17" t="s">
        <v>69</v>
      </c>
      <c r="BJ2" s="17" t="s">
        <v>70</v>
      </c>
      <c r="BK2" s="17" t="s">
        <v>71</v>
      </c>
      <c r="BL2" s="17" t="s">
        <v>72</v>
      </c>
      <c r="BM2" s="17" t="s">
        <v>73</v>
      </c>
      <c r="BN2" s="17" t="s">
        <v>672</v>
      </c>
      <c r="BO2" s="17" t="s">
        <v>673</v>
      </c>
      <c r="BP2" s="17" t="s">
        <v>674</v>
      </c>
      <c r="BQ2" s="17" t="s">
        <v>675</v>
      </c>
      <c r="BR2" s="17" t="s">
        <v>676</v>
      </c>
      <c r="BS2" s="17" t="s">
        <v>678</v>
      </c>
      <c r="BT2" s="17" t="s">
        <v>1</v>
      </c>
      <c r="BU2" s="17" t="s">
        <v>96</v>
      </c>
      <c r="BV2" s="17" t="s">
        <v>97</v>
      </c>
      <c r="BW2" s="17" t="s">
        <v>98</v>
      </c>
      <c r="BX2" s="17" t="s">
        <v>99</v>
      </c>
      <c r="BY2" s="17" t="s">
        <v>100</v>
      </c>
      <c r="BZ2" s="17" t="s">
        <v>143</v>
      </c>
      <c r="CA2" s="17" t="s">
        <v>131</v>
      </c>
      <c r="CB2" s="17" t="s">
        <v>132</v>
      </c>
      <c r="CC2" s="17" t="s">
        <v>133</v>
      </c>
      <c r="CD2" s="17" t="s">
        <v>134</v>
      </c>
      <c r="CE2" s="17" t="s">
        <v>50</v>
      </c>
      <c r="CF2" s="17" t="s">
        <v>51</v>
      </c>
      <c r="CG2" s="17" t="s">
        <v>52</v>
      </c>
      <c r="CH2" s="17" t="s">
        <v>77</v>
      </c>
      <c r="CI2" s="17" t="s">
        <v>146</v>
      </c>
      <c r="CJ2" s="17" t="s">
        <v>86</v>
      </c>
      <c r="CK2" s="17" t="s">
        <v>658</v>
      </c>
      <c r="CL2" s="17" t="s">
        <v>681</v>
      </c>
      <c r="CM2" s="17" t="s">
        <v>696</v>
      </c>
      <c r="CN2" s="17" t="s">
        <v>90</v>
      </c>
      <c r="CO2" s="53" t="s">
        <v>693</v>
      </c>
      <c r="CP2" s="56" t="s">
        <v>701</v>
      </c>
      <c r="CQ2" s="38" t="s">
        <v>655</v>
      </c>
      <c r="CR2" s="85" t="s">
        <v>41</v>
      </c>
      <c r="CS2" s="85" t="s">
        <v>63</v>
      </c>
      <c r="CT2" s="85" t="s">
        <v>109</v>
      </c>
      <c r="CU2" s="85" t="s">
        <v>39</v>
      </c>
      <c r="CV2" s="85" t="s">
        <v>40</v>
      </c>
      <c r="CW2" s="85" t="s">
        <v>84</v>
      </c>
      <c r="CX2" s="69" t="s">
        <v>684</v>
      </c>
      <c r="CY2" s="68" t="s">
        <v>125</v>
      </c>
      <c r="CZ2" s="48" t="s">
        <v>686</v>
      </c>
      <c r="DA2" s="18" t="s">
        <v>75</v>
      </c>
      <c r="DB2" s="95" t="s">
        <v>74</v>
      </c>
      <c r="DC2" s="17" t="s">
        <v>49</v>
      </c>
      <c r="DD2" s="17" t="s">
        <v>48</v>
      </c>
      <c r="DE2" s="17" t="s">
        <v>46</v>
      </c>
      <c r="DF2" s="17" t="s">
        <v>47</v>
      </c>
      <c r="DG2" s="89" t="s">
        <v>150</v>
      </c>
      <c r="DH2" s="33" t="s">
        <v>144</v>
      </c>
      <c r="DI2" s="17" t="s">
        <v>89</v>
      </c>
      <c r="DJ2" s="33" t="s">
        <v>145</v>
      </c>
      <c r="DK2" s="17" t="s">
        <v>654</v>
      </c>
      <c r="DL2" s="33" t="s">
        <v>148</v>
      </c>
      <c r="DM2" s="37" t="s">
        <v>149</v>
      </c>
      <c r="DN2" s="43" t="s">
        <v>661</v>
      </c>
      <c r="DO2" s="37" t="s">
        <v>671</v>
      </c>
      <c r="DP2" s="37" t="s">
        <v>151</v>
      </c>
      <c r="DQ2" s="17" t="s">
        <v>154</v>
      </c>
      <c r="DR2" s="17" t="s">
        <v>662</v>
      </c>
      <c r="DS2" s="89" t="s">
        <v>112</v>
      </c>
      <c r="DT2" s="70" t="s">
        <v>138</v>
      </c>
      <c r="DU2" s="71" t="s">
        <v>4</v>
      </c>
      <c r="DV2" s="71" t="s">
        <v>91</v>
      </c>
      <c r="DW2" s="71" t="s">
        <v>54</v>
      </c>
      <c r="DX2" s="71" t="s">
        <v>55</v>
      </c>
      <c r="DY2" s="71" t="s">
        <v>56</v>
      </c>
      <c r="DZ2" s="71" t="s">
        <v>101</v>
      </c>
      <c r="EA2" s="71" t="s">
        <v>130</v>
      </c>
      <c r="EB2" s="71" t="s">
        <v>126</v>
      </c>
      <c r="EC2" s="71" t="s">
        <v>127</v>
      </c>
      <c r="ED2" s="71" t="s">
        <v>128</v>
      </c>
      <c r="EE2" s="71" t="s">
        <v>129</v>
      </c>
      <c r="EF2" s="71" t="s">
        <v>57</v>
      </c>
      <c r="EG2" s="71" t="s">
        <v>58</v>
      </c>
      <c r="EH2" s="71" t="s">
        <v>688</v>
      </c>
      <c r="EI2" s="71" t="s">
        <v>59</v>
      </c>
      <c r="EJ2" s="71" t="s">
        <v>60</v>
      </c>
      <c r="EK2" s="71" t="s">
        <v>88</v>
      </c>
      <c r="EL2" s="71" t="s">
        <v>697</v>
      </c>
      <c r="EM2" s="72" t="s">
        <v>141</v>
      </c>
      <c r="EN2" s="16" t="s">
        <v>76</v>
      </c>
      <c r="EO2" s="16" t="s">
        <v>663</v>
      </c>
      <c r="EP2" s="16" t="s">
        <v>713</v>
      </c>
      <c r="EQ2" s="16" t="s">
        <v>705</v>
      </c>
      <c r="ER2" s="16" t="s">
        <v>685</v>
      </c>
      <c r="ES2" s="16" t="s">
        <v>95</v>
      </c>
      <c r="ET2" s="73" t="s">
        <v>83</v>
      </c>
      <c r="EU2" s="73" t="s">
        <v>702</v>
      </c>
      <c r="EV2" s="73" t="s">
        <v>79</v>
      </c>
      <c r="EW2" s="73" t="s">
        <v>80</v>
      </c>
      <c r="EX2" s="73" t="s">
        <v>81</v>
      </c>
      <c r="EY2" s="73" t="s">
        <v>82</v>
      </c>
      <c r="EZ2" s="73" t="s">
        <v>677</v>
      </c>
      <c r="FA2" s="73" t="s">
        <v>85</v>
      </c>
      <c r="FB2" s="74" t="s">
        <v>657</v>
      </c>
    </row>
    <row r="3" spans="1:158" s="80" customFormat="1" x14ac:dyDescent="0.2">
      <c r="A3" s="81"/>
      <c r="B3" s="81"/>
      <c r="C3" s="81"/>
      <c r="D3" s="81"/>
      <c r="E3" s="81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75"/>
      <c r="R3" s="75"/>
      <c r="S3" s="75"/>
      <c r="T3" s="75"/>
      <c r="U3" s="75"/>
      <c r="V3" s="75"/>
      <c r="W3" s="75"/>
      <c r="X3" s="75"/>
      <c r="Y3" s="75"/>
      <c r="Z3" s="75"/>
      <c r="AA3" s="75"/>
      <c r="AB3" s="75">
        <v>1</v>
      </c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 t="str">
        <f ca="1">IFERROR(_xlfn.SWITCH(COUNTIF(SageData!A:A,INDIRECT(ADDRESS(ROW(),MATCH("CSVendorAlias",$2:$2,0),4))),1,INDEX(SageData!F:F,MATCH(INDIRECT(ADDRESS(ROW(),MATCH("CSVendorAlias",$2:$2,0),4)),SageData!A:A,0)),0,"","_multiple alias lookup"),"")</f>
        <v>_multiple alias lookup</v>
      </c>
      <c r="AP3" s="75" t="str">
        <f ca="1">IFERROR(IF($B$1,_xlfn.SWITCH(COUNTIF(SageData!B:B,INDIRECT(ADDRESS(ROW(),MATCH("CSVendorAlias",$2:$2,0),4))),1,INDEX(SageData!F:F,MATCH(INDIRECT(ADDRESS(ROW(),MATCH("CSVendorAlias",$2:$2,0),4)),SageData!B:B,0)),0,"","_multiple alias lookup"),""),"")</f>
        <v>_multiple alias lookup</v>
      </c>
      <c r="AQ3" s="76" t="str">
        <f ca="1">IFERROR(IF($C$1,_xlfn.SWITCH(COUNTIF(SageData!C:C,INDIRECT(ADDRESS(ROW(),MATCH("CSVendorAlias",$2:$2,0),4))),1,INDEX(SageData!F:F,MATCH(INDIRECT(ADDRESS(ROW(),MATCH("CSVendorAlias",$2:$2,0),4)),SageData!C:C,0)),0,"","_multiple alias lookup"),""),"")</f>
        <v>_multiple alias lookup</v>
      </c>
      <c r="AR3" s="75" t="str">
        <f ca="1">IFERROR(IF($D$1,_xlfn.SWITCH(COUNTIF(SageData!D:D,INDIRECT(ADDRESS(ROW(),MATCH("CSVendorAlias",$2:$2,0),4))),1,INDEX(SageData!F:F,MATCH(INDIRECT(ADDRESS(ROW(),MATCH("CSVendorAlias",$2:$2,0),4)),SageData!D:D,0)),0,"","_multiple alias lookup"),""),"")</f>
        <v>_multiple alias lookup</v>
      </c>
      <c r="AS3" s="75" t="str">
        <f ca="1">IFERROR(IF($E$1,_xlfn.SWITCH(COUNTIF(SageData!E:E,INDIRECT(ADDRESS(ROW(),MATCH("CSVendorAlias",$2:$2,0),4))),1,INDEX(SageData!F:F,MATCH(INDIRECT(ADDRESS(ROW(),MATCH("CSVendorAlias",$2:$2,0),4)),SageData!E:E,0)),0,"","_multiple alias lookup"),""),"")</f>
        <v>_multiple alias lookup</v>
      </c>
      <c r="AT3" s="75" t="str">
        <f ca="1">IFERROR(IF(AND($B$1,INDIRECT(ADDRESS(ROW(),MATCH("CSCatalog",$2:$2,0),4))&lt;&gt;""),_xlfn.SWITCH(COUNTIF(SageData!A:A,INDIRECT(ADDRESS(ROW(),MATCH("CSCatalog",$2:$2,0),4))),1,INDEX(SageData!F:F,MATCH(INDIRECT(ADDRESS(ROW(),MATCH("CSCatalog",$2:$2,0),4)),SageData!A:A,0)),0,"","_multiple catalog lookup"),""),"")</f>
        <v/>
      </c>
      <c r="AU3" s="75" t="str">
        <f ca="1">IFERROR(IF(AND($B$1,INDIRECT(ADDRESS(ROW(),MATCH("CSCatalog",$2:$2,0),4))&lt;&gt;""),_xlfn.SWITCH(COUNTIF(SageData!B:B,INDIRECT(ADDRESS(ROW(),MATCH("CSCatalog",$2:$2,0),4))),1,INDEX(SageData!F:F,MATCH(INDIRECT(ADDRESS(ROW(),MATCH("CSCatalog",$2:$2,0),4)),SageData!B:B,0)),0,"","_multiple catalog lookup"),""),"")</f>
        <v/>
      </c>
      <c r="AV3" s="75" t="str">
        <f ca="1">IFERROR(IF(AND($B$1,$C$1,INDIRECT(ADDRESS(ROW(),MATCH("CSCatalog",$2:$2,0),4))&lt;&gt;""),_xlfn.SWITCH(COUNTIF(SageData!C:C,INDIRECT(ADDRESS(ROW(),MATCH("CSCatalog",$2:$2,0),4))),1,INDEX(SageData!F:F,MATCH(INDIRECT(ADDRESS(ROW(),MATCH("CSCatalog",$2:$2,0),4)),SageData!C:C,0)),0,"","_multiple catalog lookup"),""),"")</f>
        <v/>
      </c>
      <c r="AW3" s="75" t="str">
        <f ca="1">IFERROR(IF(AND($B$1,$D$1,INDIRECT(ADDRESS(ROW(),MATCH("CSCatalog",$2:$2,0),4))&lt;&gt;""),_xlfn.SWITCH(COUNTIF(SageData!D:D,INDIRECT(ADDRESS(ROW(),MATCH("CSCatalog",$2:$2,0),4))),1,INDEX(SageData!F:F,MATCH(INDIRECT(ADDRESS(ROW(),MATCH("CSCatalog",$2:$2,0),4)),SageData!D:D,0)),0,"","_multiple catalog lookup"),""),"")</f>
        <v/>
      </c>
      <c r="AX3" s="75" t="str">
        <f ca="1">IFERROR(IF(AND($B$1,$E$1,INDIRECT(ADDRESS(ROW(),MATCH("CSCatalog",$2:$2,0),4))&lt;&gt;""),_xlfn.SWITCH(COUNTIF(SageData!E:E,INDIRECT(ADDRESS(ROW(),MATCH("CSCatalog",$2:$2,0),4))),1,INDEX(SageData!F:F,MATCH(INDIRECT(ADDRESS(ROW(),MATCH("CSCatalog",$2:$2,0),4)),SageData!E:E,0)),0,"","_multiple catalog lookup"),""),"")</f>
        <v/>
      </c>
      <c r="AY3" s="75" t="str">
        <f ca="1">IFERROR(IF(AND($C$1,INDIRECT(ADDRESS(ROW(),MATCH("CSUPC",$2:$2,0),4))&lt;&gt;""),_xlfn.SWITCH(COUNTIF(SageData!A:A,INDIRECT(ADDRESS(ROW(),MATCH("CSUPC",$2:$2,0),4))),1,INDEX(SageData!F:F,MATCH(INDIRECT(ADDRESS(ROW(),MATCH("CSUPC",$2:$2,0),4)),SageData!A:A,0)),0,"","_multiple UPC lookup"),""),"")</f>
        <v/>
      </c>
      <c r="AZ3" s="75" t="str">
        <f ca="1">IFERROR(IF(AND($B$1,$C$1,INDIRECT(ADDRESS(ROW(),MATCH("CSUPC",$2:$2,0),4))&lt;&gt;""),_xlfn.SWITCH(COUNTIF(SageData!B:B,INDIRECT(ADDRESS(ROW(),MATCH("CSUPC",$2:$2,0),4))),1,INDEX(SageData!F:F,MATCH(INDIRECT(ADDRESS(ROW(),MATCH("CSUPC",$2:$2,0),4)),SageData!B:B,0)),0,"","_multiple UPC lookup"),""),"")</f>
        <v/>
      </c>
      <c r="BA3" s="75" t="str">
        <f ca="1">IFERROR(IF(AND($C$1,INDIRECT(ADDRESS(ROW(),MATCH("CSUPC",$2:$2,0),4))&lt;&gt;""),_xlfn.SWITCH(COUNTIF(SageData!C:C,INDIRECT(ADDRESS(ROW(),MATCH("CSUPC",$2:$2,0),4))),1,INDEX(SageData!F:F,MATCH(INDIRECT(ADDRESS(ROW(),MATCH("CSUPC",$2:$2,0),4)),SageData!C:C,0)),0,"","_multiple UPC lookup"),""),"")</f>
        <v/>
      </c>
      <c r="BB3" s="75" t="str">
        <f ca="1">IFERROR(IF(AND($C$1,$D$1,INDIRECT(ADDRESS(ROW(),MATCH("CSUPC",$2:$2,0),4))&lt;&gt;""),_xlfn.SWITCH(COUNTIF(SageData!D:D,INDIRECT(ADDRESS(ROW(),MATCH("CSUPC",$2:$2,0),4))),1,INDEX(SageData!F:F,MATCH(INDIRECT(ADDRESS(ROW(),MATCH("CSUPC",$2:$2,0),4)),SageData!D:D,0)),0,"","_multiple UPC lookup"),""),"")</f>
        <v/>
      </c>
      <c r="BC3" s="75" t="str">
        <f ca="1">IFERROR(IF(AND($C$1,$E$1,INDIRECT(ADDRESS(ROW(),MATCH("CSUPC",$2:$2,0),4))&lt;&gt;""),_xlfn.SWITCH(COUNTIF(SageData!E:E,INDIRECT(ADDRESS(ROW(),MATCH("CSUPC",$2:$2,0),4))),1,INDEX(SageData!F:F,MATCH(INDIRECT(ADDRESS(ROW(),MATCH("CSUPC",$2:$2,0),4)),SageData!E:E,0)),0,"","_multiple UPC lookup"),""),"")</f>
        <v/>
      </c>
      <c r="BD3" s="75" t="str">
        <f ca="1">IFERROR(IF(AND($D$1,INDIRECT(ADDRESS(ROW(),MATCH("CSGTIN14",$2:$2,0),4))&lt;&gt;""),_xlfn.SWITCH(COUNTIF(SageData!A:A,INDIRECT(ADDRESS(ROW(),MATCH("CSGTIN14",$2:$2,0),4))),1,INDEX(SageData!F:F,MATCH(INDIRECT(ADDRESS(ROW(),MATCH("CSGTIN14",$2:$2,0),4)),SageData!A:A,0)),0,"","_multiple GTIN lookup"),""),"")</f>
        <v/>
      </c>
      <c r="BE3" s="75" t="str">
        <f ca="1">IFERROR(IF(AND($B$1,$D$1,INDIRECT(ADDRESS(ROW(),MATCH("CSGTIN14",$2:$2,0),4))&lt;&gt;""),_xlfn.SWITCH(COUNTIF(SageData!B:B,INDIRECT(ADDRESS(ROW(),MATCH("CSGTIN14",$2:$2,0),4))),1,INDEX(SageData!F:F,MATCH(INDIRECT(ADDRESS(ROW(),MATCH("CSGTIN14",$2:$2,0),4)),SageData!B:B,0)),0,"","_multiple GTIN lookup"),""),"")</f>
        <v/>
      </c>
      <c r="BF3" s="75" t="str">
        <f ca="1">IFERROR(IF(AND($C$1,$D$1,INDIRECT(ADDRESS(ROW(),MATCH("CSGTIN14",$2:$2,0),4))&lt;&gt;""),_xlfn.SWITCH(COUNTIF(SageData!C:C,INDIRECT(ADDRESS(ROW(),MATCH("CSGTIN14",$2:$2,0),4))),1,INDEX(SageData!F:F,MATCH(INDIRECT(ADDRESS(ROW(),MATCH("CSGTIN14",$2:$2,0),4)),SageData!C:C,0)),0,"","_multiple GTIN lookup"),""),"")</f>
        <v/>
      </c>
      <c r="BG3" s="75" t="str">
        <f ca="1">IFERROR(IF(AND($D$1,INDIRECT(ADDRESS(ROW(),MATCH("CSGTIN14",$2:$2,0),4))&lt;&gt;""),_xlfn.SWITCH(COUNTIF(SageData!D:D,INDIRECT(ADDRESS(ROW(),MATCH("CSGTIN14",$2:$2,0),4))),1,INDEX(SageData!F:F,MATCH(INDIRECT(ADDRESS(ROW(),MATCH("CSGTIN14",$2:$2,0),4)),SageData!D:D,0)),0,"","_multiple GTIN lookup"),""),"")</f>
        <v/>
      </c>
      <c r="BH3" s="75" t="str">
        <f ca="1">IFERROR(IF(AND($D$1,$E$1,INDIRECT(ADDRESS(ROW(),MATCH("CSGTIN14",$2:$2,0),4))&lt;&gt;""),_xlfn.SWITCH(COUNTIF(SageData!E:E,INDIRECT(ADDRESS(ROW(),MATCH("CSGTIN14",$2:$2,0),4))),1,INDEX(SageData!F:F,MATCH(INDIRECT(ADDRESS(ROW(),MATCH("CSGTIN14",$2:$2,0),4)),SageData!E:E,0)),0,"","_multiple GTIN lookup"),""),"")</f>
        <v/>
      </c>
      <c r="BI3" s="75" t="str">
        <f ca="1">IFERROR(IF(AND($E$1,INDIRECT(ADDRESS(ROW(),MATCH("CSModel",$2:$2,0),4))&lt;&gt;""),_xlfn.SWITCH(COUNTIF(SageData!A:A,INDIRECT(ADDRESS(ROW(),MATCH("CSModel",$2:$2,0),4))),1,INDEX(SageData!F:F,MATCH(INDIRECT(ADDRESS(ROW(),MATCH("CSModel",$2:$2,0),4)),SageData!A:A,0)),0,"","_multiple Model lookup"),""),"")</f>
        <v/>
      </c>
      <c r="BJ3" s="75" t="str">
        <f ca="1">IFERROR(IF(AND($B$1,$E$1,INDIRECT(ADDRESS(ROW(),MATCH("CSModel",$2:$2,0),4))&lt;&gt;""),_xlfn.SWITCH(COUNTIF(SageData!B:B,INDIRECT(ADDRESS(ROW(),MATCH("CSModel",$2:$2,0),4))),1,INDEX(SageData!F:F,MATCH(INDIRECT(ADDRESS(ROW(),MATCH("CSModel",$2:$2,0),4)),SageData!B:B,0)),0,"","_multiple Model lookup"),""),"")</f>
        <v/>
      </c>
      <c r="BK3" s="75" t="str">
        <f ca="1">IFERROR(IF(AND($C$1,$E$1,INDIRECT(ADDRESS(ROW(),MATCH("CSModel",$2:$2,0),4))&lt;&gt;""),_xlfn.SWITCH(COUNTIF(SageData!C:C,INDIRECT(ADDRESS(ROW(),MATCH("CSModel",$2:$2,0),4))),1,INDEX(SageData!F:F,MATCH(INDIRECT(ADDRESS(ROW(),MATCH("CSModel",$2:$2,0),4)),SageData!C:C,0)),0,"","_multiple Model lookup"),""),"")</f>
        <v/>
      </c>
      <c r="BL3" s="75" t="str">
        <f ca="1">IFERROR(IF(AND($D$1,$E$1,INDIRECT(ADDRESS(ROW(),MATCH("CSModel",$2:$2,0),4))&lt;&gt;""),_xlfn.SWITCH(COUNTIF(SageData!D:D,INDIRECT(ADDRESS(ROW(),MATCH("CSModel",$2:$2,0),4))),1,INDEX(SageData!F:F,MATCH(INDIRECT(ADDRESS(ROW(),MATCH("CSModel",$2:$2,0),4)),SageData!D:D,0)),0,"","_multiple Model lookup"),""),"")</f>
        <v/>
      </c>
      <c r="BM3" s="75" t="str">
        <f ca="1">IFERROR(IF(AND($E$1,INDIRECT(ADDRESS(ROW(),MATCH("CSModel",$2:$2,0),4))&lt;&gt;""),_xlfn.SWITCH(COUNTIF(SageData!E:E,INDIRECT(ADDRESS(ROW(),MATCH("CSModel",$2:$2,0),4))),1,INDEX(SageData!F:F,MATCH(INDIRECT(ADDRESS(ROW(),MATCH("CSModel",$2:$2,0),4)),SageData!E:E,0)),0,"","_multiple Model lookup"),""),"")</f>
        <v/>
      </c>
      <c r="BN3" s="75" t="str">
        <f ca="1">IFERROR(IF($E$1,_xlfn.SWITCH(COUNTIF(SageData!A:A,INDIRECT(ADDRESS(ROW(),MATCH("CSStrippedAlias",$2:$2,0),4))),1,INDEX(SageData!F:F,MATCH(INDIRECT(ADDRESS(ROW(),MATCH("CSStrippedAlias",$2:$2,0),4)),SageData!A:A,0)),0,"","_multiple lookup"),""),"")</f>
        <v>_multiple lookup</v>
      </c>
      <c r="BO3" s="75" t="str">
        <f ca="1">IFERROR(IF(AND($B$1,$E$1),_xlfn.SWITCH(COUNTIF(SageData!B:B,INDIRECT(ADDRESS(ROW(),MATCH("CSStrippedAlias",$2:$2,0),4))),1,INDEX(SageData!F:F,MATCH(INDIRECT(ADDRESS(ROW(),MATCH("CSStrippedAlias",$2:$2,0),4)),SageData!B:B,0)),0,"","_multiple lookup"),""),"")</f>
        <v>_multiple lookup</v>
      </c>
      <c r="BP3" s="75" t="str">
        <f ca="1">IFERROR(IF(AND($C$1,$E$1),_xlfn.SWITCH(COUNTIF(SageData!C:C,INDIRECT(ADDRESS(ROW(),MATCH("CSStrippedAlias",$2:$2,0),4))),1,INDEX(SageData!F:F,MATCH(INDIRECT(ADDRESS(ROW(),MATCH("CSStrippedAlias",$2:$2,0),4)),SageData!C:C,0)),0,"","_multiple lookup"),""),"")</f>
        <v>_multiple lookup</v>
      </c>
      <c r="BQ3" s="75" t="str">
        <f ca="1">IFERROR(IF(AND($D$1,$E$1),_xlfn.SWITCH(COUNTIF(SageData!D:D,INDIRECT(ADDRESS(ROW(),MATCH("CSStrippedAlias",$2:$2,0),4))),1,INDEX(SageData!F:F,MATCH(INDIRECT(ADDRESS(ROW(),MATCH("CSStrippedAlias",$2:$2,0),4)),SageData!D:D,0)),0,"","_multiple lookup"),""),"")</f>
        <v>_multiple lookup</v>
      </c>
      <c r="BR3" s="75" t="str">
        <f ca="1">IFERROR(IF($E$1,_xlfn.SWITCH(COUNTIF(SageData!E:E,INDIRECT(ADDRESS(ROW(),MATCH("CSStrippedAlias",$2:$2,0),4))),1,INDEX(SageData!F:F,MATCH(INDIRECT(ADDRESS(ROW(),MATCH("CSStrippedAlias",$2:$2,0),4)),SageData!E:E,0)),0,"","_multiple lookup"),""),"")</f>
        <v>_multiple lookup</v>
      </c>
      <c r="BS3" s="75" t="str">
        <f ca="1">IFERROR(IF($E$1,_xlfn.SWITCH(COUNTIF(SageData!F:F,INDIRECT(ADDRESS(ROW(),MATCH("CSStrippedAlias",$2:$2,0),4))),1,INDEX(SageData!F:F,MATCH(INDIRECT(ADDRESS(ROW(),MATCH("CSStrippedAlias",$2:$2,0),4)),SageData!F:F,0)),0,"","_multiple lookup"),""),"")</f>
        <v>_multiple lookup</v>
      </c>
      <c r="BT3" s="75" t="str">
        <f>IF(A3="","",IF(AN3&lt;&gt;"",AN3,IF(AND(AO3="",AP3="",AQ3="",AR3="",AS3="",AT3="",AU3="",AV3="",AW3="",AX3="",AY3="",AZ3="",BA3="",BB3="",BC3="",BD3="",BE3="",BF3="",BG3="",BH3="",BI3="",BJ3="",BK3="",BL3="",BM3="",BN3="",BO3="",BP3="",BQ3="",BR3="",BS3=""),IF(J3="","_new item","__Don't Build"),IF(SUMPRODUCT((AO3:BS3&lt;&gt;"")/COUNTIF(AO3:BS3,AO3:BS3&amp;""))=1,IF(AO3&gt;"",AO3,IF(AP3&gt;"",AP3,IF(AQ3&gt;"",AQ3,IF(AR3&gt;"",AR3,IF(AS3&gt;"",AS3,IF(AT3&gt;"",AT3,IF(AU3&gt;"",AU3,IF(AV3&gt;"",AV3,IF(AW3&gt;"",AW3,IF(AX3&gt;"",AX3,IF(AY3&gt;"",AY3,IF(AZ3&gt;"",AZ3,IF(BA3&gt;"",BA3,IF(BB3&gt;"",BB3,IF(BC3&gt;"",BC3,IF(BD3&gt;"",BD3,IF(BE3&gt;"",BE3,IF(BF3&gt;"",BF3,IF(BG3&gt;"",BG3,IF(BH3&gt;"",BH3,IF(BI3&gt;"",BI3,IF(BJ3&gt;"",BJ3,IF(BK3&gt;"",BK3,IF(BL3&gt;"",BL3,IF(BM3&gt;"",BM3,IF(BN3&gt;"",BN3,IF(BO3&gt;"",BO3,IF(BP3&gt;"",BP3,IF(BQ3&gt;"",BQ3,IF(BR3&gt;"",BR3,IF(BS3&gt;"",BS3,"___Something went wrong"))))))))))))))))))))))))))))))),"__Conflict"))))</f>
        <v/>
      </c>
      <c r="BU3" s="75" t="str">
        <f>IF(IFERROR(INDEX(SageData!A:A,MATCH(BT3,SageData!F:F,0)),0)=0,"",(IFERROR(INDEX(SageData!A:A,MATCH(BT3,SageData!F:F,0)),"")))</f>
        <v/>
      </c>
      <c r="BV3" s="75" t="str">
        <f>IF(IFERROR(INDEX(SageData!B:B,MATCH(BT3,SageData!F:F,0)),0)=0,"",(IFERROR(INDEX(SageData!B:B,MATCH(BT3,SageData!F:F,0)),"")))</f>
        <v/>
      </c>
      <c r="BW3" s="75" t="str">
        <f>IF(IFERROR(INDEX(SageData!C:C,MATCH(BT3,SageData!F:F,0)),0)=0,"",(IFERROR(INDEX(SageData!C:C,MATCH(BT3,SageData!F:F,0)),"")))</f>
        <v/>
      </c>
      <c r="BX3" s="75" t="str">
        <f>IF(IFERROR(INDEX(SageData!D:D,MATCH(BT3,SageData!F:F,0)),0)=0,"",(IFERROR(INDEX(SageData!D:D,MATCH(BT3,SageData!F:F,0)),"")))</f>
        <v/>
      </c>
      <c r="BY3" s="75" t="str">
        <f>IF(IFERROR(INDEX(SageData!E:E,MATCH(BT3,SageData!F:F,0)),0)=0,"",(IFERROR(INDEX(SageData!E:E,MATCH(BT3,SageData!F:F,0)),"")))</f>
        <v/>
      </c>
      <c r="BZ3" s="75" t="str">
        <f>IF(IFERROR(INDEX(SageData!AD:AD,MATCH(BT3,SageData!F:F,0)),0)=0,"",(IFERROR(INDEX(SageData!AD:AD,MATCH(BT3,SageData!F:F,0)),"")))</f>
        <v/>
      </c>
      <c r="CA3" s="75" t="str">
        <f>IF(IFERROR(INDEX(SageData!P:P,MATCH(BT3,SageData!F:F,0)),0)=0,"",(IFERROR(INDEX(SageData!P:P,MATCH(BT3,SageData!F:F,0)),"")))</f>
        <v/>
      </c>
      <c r="CB3" s="75" t="str">
        <f>IF(IFERROR(INDEX(SageData!Y:Y,MATCH(BT3,SageData!F:F,0)),0)=0,"",(IFERROR(INDEX(SageData!Y:Y,MATCH(BT3,SageData!F:F,0)),"")))</f>
        <v/>
      </c>
      <c r="CC3" s="75" t="str">
        <f>IF(IFERROR(INDEX(SageData!X:X,MATCH(BT3,SageData!F:F,0)),0)=0,"",(IFERROR(INDEX(SageData!X:X,MATCH(BT3,SageData!F:F,0)),"")))</f>
        <v/>
      </c>
      <c r="CD3" s="75" t="str">
        <f>IF(IFERROR(INDEX(SageData!W:W,MATCH(BT3,SageData!F:F,0)),0)=0,"",(IFERROR(INDEX(SageData!W:W,MATCH(BT3,SageData!F:F,0)),"")))</f>
        <v/>
      </c>
      <c r="CE3" s="75" t="str">
        <f>IF(IFERROR(INDEX(SageData!N:N,MATCH(BT3,SageData!F:F,0)),0)=0,"",(IFERROR(INDEX(SageData!N:N,MATCH(BT3,SageData!F:F,0)),"")))</f>
        <v/>
      </c>
      <c r="CF3" s="75" t="str">
        <f>IF(IFERROR(INDEX(SageData!O:O,MATCH(BT3,SageData!F:F,0)),0)=0,"",(IFERROR(INDEX(SageData!O:O,MATCH(BT3,SageData!F:F,0)),"")))</f>
        <v/>
      </c>
      <c r="CG3" s="75" t="str">
        <f>IF(IFERROR(INDEX(SageData!Q:Q,MATCH(BT3,SageData!F:F,0)),0)=0,"",(IFERROR(INDEX(SageData!Q:Q,MATCH(BT3,SageData!F:F,0)),"")))</f>
        <v/>
      </c>
      <c r="CH3" s="75" t="str">
        <f>IF(IFERROR(INDEX(SageData!R:R,MATCH(BT3,SageData!F:F,0)),0)=0,"",(IFERROR(INDEX(SageData!R:R,MATCH(BT3,SageData!F:F,0)),"")))</f>
        <v/>
      </c>
      <c r="CI3" s="75" t="str">
        <f>IF(IFERROR(INDEX(SageData!AB:AB,MATCH(BT3,SageData!F:F,0)),0)=0,"",(IFERROR(INDEX(SageData!AB:AB,MATCH(BT3,SageData!F:F,0)),"")))</f>
        <v/>
      </c>
      <c r="CJ3" s="75" t="str">
        <f>IF(IFERROR(INDEX(SageData!U:U,MATCH(BT3,SageData!F:F,0)),0)=0,"",(IFERROR(INDEX(SageData!U:U,MATCH(BT3,SageData!F:F,0)),"")))</f>
        <v/>
      </c>
      <c r="CK3" s="75" t="str">
        <f>IF(IFERROR(INDEX(SageData!S:S,MATCH(BT3,SageData!F:F,0)),0)=0,"",(IFERROR(INDEX(SageData!S:S,MATCH(BT3,SageData!F:F,0)),"")))</f>
        <v/>
      </c>
      <c r="CL3" s="75" t="str">
        <f>IF(IFERROR(INDEX(SageData!AI:AI,MATCH(BT3,SageData!F:F,0)),0)=0,"",(IFERROR(INDEX(SageData!AI:AI,MATCH(BT3,SageData!F:F,0)),"")))</f>
        <v/>
      </c>
      <c r="CM3" s="75" t="str">
        <f>IF(IFERROR(INDEX(SageData!AK:AK,MATCH(BT3,SageData!F:F,0)),0)=0,"",(IFERROR(INDEX(SageData!AK:AK,MATCH(BT3,SageData!F:F,0)),"")))</f>
        <v/>
      </c>
      <c r="CN3" s="75" t="str">
        <f>IFERROR(INDEX(SageData!G:G,MATCH(BT3,SageData!F:F,0)),"")</f>
        <v/>
      </c>
      <c r="CO3" s="75" t="str">
        <f>IF(IFERROR(INDEX(SageData!AJ:AJ,MATCH(BT3,SageData!F:F,0)),0)=0,"",(IFERROR(INDEX(SageData!AJ:AJ,MATCH(BT3,SageData!F:F,0)),"")))</f>
        <v/>
      </c>
      <c r="CP3" s="75" t="str">
        <f>IF(IFERROR(INDEX(SageData!AL:AL,MATCH(BT3,SageData!F:F,0)),0)=0,"",(IFERROR(INDEX(SageData!AL:AL,MATCH(BT3,SageData!F:F,0)),"")))</f>
        <v/>
      </c>
      <c r="CQ3" s="75" t="str">
        <f>IF(OR(BT3="__Don't Build",A3=""),"",IF(OR(COUNTIF(A:A,A3)&gt;1,IF($B$1,COUNTIF(B:B,B3)&gt;1),IF($C$1,COUNTIF(C:C,C3)&gt;1),IF($D$1,COUNTIF(D:D,D3)&gt;1),IF($E$1,COUNTIF(E:E,E3)&gt;1)),"Duplicate Identifer","")&amp;IF(SUM(G3:I3)=0,"",IFERROR(IF(AND(VALUE(G3)&lt;VALUE(I3),ISBLANK(H3)),"",IF(OR(AND(I3&gt;G3,H3&lt;=I3),G3&gt;H3,H3&gt;I3),"","Vendor Cost/Price Review")),""))&amp;IFERROR(IF(ROUND(DB3,2)&gt;=0.1,"","Low Margin"),"")&amp;IFERROR(IF(AND(ROUND(G3,2)=G3,ROUND(H3,2)=H3,ROUND(I3,2)=I3),"","Round Prices"),"")&amp;IF(BT3&lt;&gt;"_new item",IF(IFERROR(ABS(CR3),0)&gt;0.15,"Wild Cost Change",""),"")&amp;IF(SUM(G3:I3)=0,"",IF(ISNUMBER(DA3),"","Needs Price")))&amp;IFERROR(IF(AND(DO3&lt;&gt;"",_xlfn.NUMBERVALUE(DO3)&gt;_xlfn.NUMBERVALUE(DA3)),"GSA Price",""),"")</f>
        <v/>
      </c>
      <c r="CR3" s="82" t="str">
        <f t="shared" ref="CR3" si="0">IF(OR(G3="",DC3=""),"",IF(BT3="_new item","",(G3-DC3)/DC3))</f>
        <v/>
      </c>
      <c r="CS3" s="82" t="str">
        <f t="shared" ref="CS3" si="1">IF(AND(H3="",DD3=""),"",IF(AND(H3&lt;&gt;"",DD3=0),"New",IF(AND(DD3&gt;0,H3=""),"Kill",IF(BT3="_new item","",IF(AND(H3="",DD3=0),"",(H3-DD3)/DD3)))))</f>
        <v/>
      </c>
      <c r="CT3" s="82" t="str">
        <f t="shared" ref="CT3" si="2">IF(OR(I3="",DE3=""),"",IF(BT3="_new item","",(I3-DE3)/DE3))</f>
        <v/>
      </c>
      <c r="CU3" s="82" t="str">
        <f t="shared" ref="CU3" si="3">IF(ISBLANK(H3),"",(H3-G3)/H3)</f>
        <v/>
      </c>
      <c r="CV3" s="82" t="str">
        <f t="shared" ref="CV3" si="4">IF(ISBLANK(I3),"",(I3-G3)/I3)</f>
        <v/>
      </c>
      <c r="CW3" s="82" t="str">
        <f t="shared" ref="CW3" si="5">IFERROR(IF(BT3="_new item","",CV3-DS3),"")</f>
        <v/>
      </c>
      <c r="CX3" s="75" t="str">
        <f t="shared" ref="CX3" si="6">IFERROR(ROUND(DQ3*(DF3-DC3),2),"")</f>
        <v/>
      </c>
      <c r="CY3" s="77"/>
      <c r="CZ3" s="77"/>
      <c r="DA3" s="77" t="str">
        <f t="shared" ref="DA3" si="7">IF(I3="","",IF(CY3&lt;&gt;"",CY3,IF(CZ3&lt;&gt;"",ROUND(G3/(1-CZ3),2),IF(DI3="Y","ONclearance",IF(BT3="_new item",IF(G3&lt;=29.6,I3,IF(H3="",I3,H3)),IF(ABS(CW3)&gt;0.005,"DiscountChange",ROUND(IF(AND(DF3=DD3,H3&gt;0),H3,IF(DF3=DE3,I3,IF((I3*(DF3/DE3)&lt;H3),H3,(I3*(DF3/DE3))))),2)))))))</f>
        <v/>
      </c>
      <c r="DB3" s="82" t="str">
        <f t="shared" ref="DB3" si="8">IF(G3="","",IF(ISNUMBER(DA3),(DA3-G3)/DA3,""))</f>
        <v/>
      </c>
      <c r="DC3" s="75" t="str">
        <f>IFERROR(INDEX(SageData!I:I,MATCH(BT3,SageData!F:F,0)),"")</f>
        <v/>
      </c>
      <c r="DD3" s="75" t="str">
        <f>IFERROR(INDEX(SageData!L:L,MATCH(BT3,SageData!F:F,0)),"")</f>
        <v/>
      </c>
      <c r="DE3" s="75" t="str">
        <f>IFERROR(INDEX(SageData!K:K,MATCH(BT3,SageData!F:F,0)),"")</f>
        <v/>
      </c>
      <c r="DF3" s="75" t="str">
        <f>IFERROR(INDEX(SageData!J:J,MATCH(BT3,SageData!F:F,0)),"")</f>
        <v/>
      </c>
      <c r="DG3" s="82" t="str">
        <f t="shared" ref="DG3" si="9">IFERROR(IF(BT3="_new item","",(DF3-DC3)/DF3),"")</f>
        <v/>
      </c>
      <c r="DH3" s="78" t="str">
        <f>IF(IFERROR(INDEX(SageData!M:M,MATCH(BT3,SageData!F:F,0)),0)=0,"",(IFERROR(INDEX(SageData!M:M,MATCH(BT3,SageData!F:F,0)),"")))</f>
        <v/>
      </c>
      <c r="DI3" s="75" t="str">
        <f>IF(IFERROR(INDEX(SageData!V:V,MATCH(BT3,SageData!F:F,0)),0)=0,"",(IFERROR(INDEX(SageData!V:V,MATCH(BT3,SageData!F:F,0)),"")))</f>
        <v/>
      </c>
      <c r="DJ3" s="78" t="str">
        <f>IF(IFERROR(INDEX(SageData!Z:Z,MATCH(BT3,SageData!F:F,0)),0)=0,"",(IFERROR(INDEX(SageData!Z:Z,MATCH(BT3,SageData!F:F,0)),"")))</f>
        <v/>
      </c>
      <c r="DK3" s="75" t="str">
        <f>IF(IFERROR(INDEX(SageData!AA:AA,MATCH(BT3,SageData!F:F,0)),0)=0,"",(IFERROR(INDEX(SageData!AA:AA,MATCH(BT3,SageData!F:F,0)),"")))</f>
        <v/>
      </c>
      <c r="DL3" s="78" t="str">
        <f>IF(IFERROR(INDEX(SageData!AC:AC,MATCH(BT3,SageData!F:F,0)),0)=0,"",(IFERROR(INDEX(SageData!AC:AC,MATCH(BT3,SageData!F:F,0)),"")))</f>
        <v/>
      </c>
      <c r="DM3" s="77" t="str">
        <f t="shared" ref="DM3" si="10">IFERROR(IF(BT3="_new item","",(DD3-DC3)/DD3),"")</f>
        <v/>
      </c>
      <c r="DN3" s="79" t="str">
        <f>IF(IFERROR(INDEX(SageData!AG:AG,MATCH(BT3,SageData!F:F,0)),0)=0,"",(IFERROR(INDEX(SageData!AG:AG,MATCH(BT3,SageData!F:F,0)),"")))</f>
        <v/>
      </c>
      <c r="DO3" s="77" t="str">
        <f>IF(IFERROR(INDEX(SageData!AH:AH,MATCH(BT3,SageData!E:E,0)),0)=0,"",(IFERROR(INDEX(SageData!AH:AH,MATCH(BT3,SageData!E:E,0)),"")))</f>
        <v/>
      </c>
      <c r="DP3" s="77" t="str">
        <f>IF(IFERROR(INDEX(SageData!AE:AE,MATCH(BT3,SageData!F:F,0)),0)=0,"",(IFERROR(INDEX(SageData!AE:AE,MATCH(BT3,SageData!F:F,0)),"")))</f>
        <v/>
      </c>
      <c r="DQ3" s="75" t="str">
        <f>IF(IFERROR(INDEX(SageData!AF:AF,MATCH(BT3,SageData!F:F,0)),0)=0,"",(IFERROR(INDEX(SageData!AF:AF,MATCH(BT3,SageData!F:F,0)),"")))</f>
        <v/>
      </c>
      <c r="DR3" s="75" t="str">
        <f t="shared" ref="DR3" si="11">IF(DP3&lt;&gt;"",DP3*G3,"")</f>
        <v/>
      </c>
      <c r="DS3" s="82" t="str">
        <f t="shared" ref="DS3" si="12">IFERROR(IF(BT3="_new item","",1-(DC3/DE3)),"")</f>
        <v/>
      </c>
      <c r="DT3" s="77"/>
      <c r="DU3" s="75" t="str">
        <f>IFERROR(IF(OR(J3&lt;&gt;"",DT3&lt;&gt;"",BT3="__Don't Build"),"",IF(INDEX(SageData!H:H,MATCH(BT3,SageData!F:F,0))="D","_revival","")),"")</f>
        <v/>
      </c>
      <c r="DV3" s="75" t="str">
        <f t="shared" ref="DV3" si="13">IFERROR(IF(OR(BT3="_new item",DT3&lt;&gt;"",BT3="__Don't Build"),"",IF(ISBLANK(A3),"",IF(BU3=EU3,"","Vendor Item Code Update"))),"Vendor Item Code Update")</f>
        <v/>
      </c>
      <c r="DW3" s="75" t="str">
        <f t="shared" ref="DW3" si="14">IFERROR(IF(OR(BT3="_new item",BT3="__Don't Build"),"",IF(ISBLANK(B3),"",IF(BV3=EV3,"","Catalog Update"))),"Catalog Update")</f>
        <v/>
      </c>
      <c r="DX3" s="75" t="str">
        <f t="shared" ref="DX3" si="15">IFERROR(IF(OR(BT3="_new item",BT3="__Don't Build"),"",IF(ISBLANK(C3),"",IF(BW3=EW3,"","UPC Update"))),"UPC Update")</f>
        <v/>
      </c>
      <c r="DY3" s="75" t="str">
        <f t="shared" ref="DY3" si="16">IFERROR(IF(OR(BT3="_new item",BT3="__Don't Build"),"",IF(ISBLANK(E3),"",IF(BX3=EX3,"","GTIN14 Update"))),"GTIN14 Update")</f>
        <v/>
      </c>
      <c r="DZ3" s="75" t="str">
        <f t="shared" ref="DZ3" si="17">IFERROR(IF(OR(BT3="_new item",BT3="__Don't Build"),"",IF(ISBLANK(E3),"",IF(BY3=EY3,"","Model Update"))),"Model Update")</f>
        <v/>
      </c>
      <c r="EA3" s="75" t="str">
        <f>IFERROR(IF(OR(BT3="_new item",BT3="__Don't Build"),"",IF(ISBLANK(Y3),"",IF(CK3=Y3,"","Product Line Update"))),"Product Line Update")</f>
        <v/>
      </c>
      <c r="EB3" s="75" t="str">
        <f t="shared" ref="EB3" si="18">IFERROR(IF(OR(BT3="_new item",BT3="__Don't Build"),"",IF(ISBLANK(V3),"",IF(CA3=V3,"","ECCN Update"))),"ECCN Update")</f>
        <v/>
      </c>
      <c r="EC3" s="75" t="str">
        <f t="shared" ref="EC3" si="19">IFERROR(IF(OR(BT3="_new item",BT3="__Don't Build"),"",IF(ISBLANK(U3),"",IF(CD3=U3,"","NSN Update"))),"NSN Update")</f>
        <v/>
      </c>
      <c r="ED3" s="75" t="str">
        <f t="shared" ref="ED3" si="20">IFERROR(IF(OR(BT3="_new item",BT3="__Don't Build"),"",IF(ISBLANK(T3),"",IF(CB3=T3,"","MOQ Update"))),"MOQ Update")</f>
        <v/>
      </c>
      <c r="EE3" s="75" t="str">
        <f t="shared" ref="EE3" si="21">IFERROR(IF(OR(BT3="_new item",BT3="__Don't Build"),"",IF(ISBLANK(W3),"",IF(CC3=W3,"","Dropship Update"))),"Dropship Update")</f>
        <v/>
      </c>
      <c r="EF3" s="75" t="str">
        <f t="shared" ref="EF3" si="22">IF(OR(BT3="_new item",BT3="__Don't Build",DT3&lt;&gt;""),"",IF(ISBLANK(O3),"",IF(CE3="","Weight Update",IF(ABS(VALUE(CE3)-VALUE(O3))&lt;=1,"",IF(ABS(VALUE(CE3)-VALUE(O3))&gt;=5,"Weight Update",IF(AND(VALUE(CE3)&lt;VALUE(O3),(VALUE(O3)-VALUE(CE3))/VALUE(O3)&gt;0.5),"Weight Update",""))))))</f>
        <v/>
      </c>
      <c r="EG3" s="75" t="str">
        <f t="shared" ref="EG3" si="23">IFERROR(IF(OR(BT3="_new item",BT3="__Don't Build"),"",IF(ISBLANK(L3),"",IF(CF3=L3,"","Country Update"))),"Country Update")</f>
        <v/>
      </c>
      <c r="EH3" s="75" t="str">
        <f>IFERROR(IF(OR(BT3="_new item",BT3="__Don't Build"),"",IF(ISBLANK(X3),"",IF(AND(X3&lt;&gt;"",CL3=""),"Special Order Update",""))),"Country Update")</f>
        <v/>
      </c>
      <c r="EI3" s="75" t="str">
        <f t="shared" ref="EI3" si="24">IFERROR(IF(OR(BT3="_new item",BT3="__Don't Build"),"",IF(ISBLANK(M3),"",IF(CG3=M3,"","Schedule B Update"))),"Schedule B Update")</f>
        <v/>
      </c>
      <c r="EJ3" s="75" t="str">
        <f t="shared" ref="EJ3" si="25">IFERROR(IF(OR(BT3="_new item",BT3="__Don't Build"),"",IF(ISBLANK(N3),"",IF(CH3=N3,"","Pack Update"))),"Pack Update")</f>
        <v/>
      </c>
      <c r="EK3" s="75" t="str">
        <f t="shared" ref="EK3" si="26">IFERROR(IF(OR(BT3="_new item",BT3="__Don't Build"),"",IF(ISBLANK(P3),"",IF(CJ3=P3,"","Replacement Update"))),"Replacement Update")</f>
        <v/>
      </c>
      <c r="EL3" s="75" t="str">
        <f t="shared" ref="EL3" si="27">IFERROR(IF(OR(BT3="_new item",BT3="__Don't Build"),"",IF(ISBLANK(K3),"",IF(AND(K3="N",CM3="Y"),"RFQ Update",IF(CM3&lt;&gt;"Y","RFQ Update","")))),"RFQ Update")</f>
        <v/>
      </c>
      <c r="EM3" s="75" t="str">
        <f t="shared" ref="EM3" si="28">DU3&amp;DV3&amp;DW3&amp;DX3&amp;DY3&amp;DZ3&amp;EA3&amp;EB3&amp;EC3&amp;ED3&amp;EE3&amp;EF3&amp;EG3&amp;EH3&amp;EI3&amp;EJ3&amp;EK3&amp;EL3</f>
        <v/>
      </c>
      <c r="EN3" s="75" t="str">
        <f t="shared" ref="EN3" si="29">IF(OR(BT3="_new item",BT3="__Don't Build",ISBLANK(G3),ISBLANK(I3)),"","price list")</f>
        <v/>
      </c>
      <c r="EO3" s="75" t="str">
        <f>IFERROR(IF(ABS(CR3)&gt;0.0001,"Maggie",""),"")</f>
        <v/>
      </c>
      <c r="EP3" s="75" t="str">
        <f>IFERROR(IF(OR(ABS(CR3)&gt;0.0001,ABS(CS3)&gt;0.0001,ABS(CT3)&gt;0.0001,DA3&lt;&gt;DF3),"Johnny",""),"")</f>
        <v/>
      </c>
      <c r="EQ3" s="75">
        <f t="shared" ref="EQ3" si="30">IFERROR(_xlfn.NUMBERVALUE(DC3)-G3,"")</f>
        <v>0</v>
      </c>
      <c r="ER3" s="75" t="str">
        <f t="shared" ref="ER3" si="31">IF(AND(AE3&lt;&gt;"",BT3&lt;&gt;"__Don't Build",BT3&lt;&gt;"_new item"),"breakpoint","")</f>
        <v/>
      </c>
      <c r="ES3" s="75" t="str">
        <f t="shared" ref="ES3" si="32">IF(OR(AND(J3="",BT3&lt;&gt;"_Don't Build",NOT(ISBLANK(G3)),NOT(ISBLANK(I3)))),"priceworkbook","")</f>
        <v/>
      </c>
      <c r="ET3" s="75" t="str">
        <f t="shared" ref="ET3" si="33">SUBSTITUTE(SUBSTITUTE(SUBSTITUTE(SUBSTITUTE(SUBSTITUTE(SUBSTITUTE(CLEAN(TRIM(F3)),CHAR(127),""),CHAR(129),""),CHAR(141),""),CHAR(143),""),CHAR(144),""),CHAR(157),"")</f>
        <v/>
      </c>
      <c r="EU3" s="75" t="str">
        <f t="shared" ref="EU3" si="34">SUBSTITUTE(SUBSTITUTE(SUBSTITUTE(SUBSTITUTE(SUBSTITUTE(SUBSTITUTE(CLEAN(TRIM(A3)),CHAR(127),""),CHAR(129),""),CHAR(141),""),CHAR(143),""),CHAR(144),""),CHAR(157),"")</f>
        <v/>
      </c>
      <c r="EV3" s="75" t="str">
        <f t="shared" ref="EV3" si="35">SUBSTITUTE(SUBSTITUTE(SUBSTITUTE(SUBSTITUTE(SUBSTITUTE(SUBSTITUTE(CLEAN(TRIM(B3)),CHAR(127),""),CHAR(129),""),CHAR(141),""),CHAR(143),""),CHAR(144),""),CHAR(157),"")</f>
        <v/>
      </c>
      <c r="EW3" s="75" t="str">
        <f t="shared" ref="EW3" si="36">SUBSTITUTE(SUBSTITUTE(SUBSTITUTE(SUBSTITUTE(SUBSTITUTE(SUBSTITUTE(CLEAN(TRIM(C3)),CHAR(127),""),CHAR(129),""),CHAR(141),""),CHAR(143),""),CHAR(144),""),CHAR(157),"")</f>
        <v/>
      </c>
      <c r="EX3" s="75" t="str">
        <f t="shared" ref="EX3" si="37">SUBSTITUTE(SUBSTITUTE(SUBSTITUTE(SUBSTITUTE(SUBSTITUTE(SUBSTITUTE(CLEAN(TRIM(D3)),CHAR(127),""),CHAR(129),""),CHAR(141),""),CHAR(143),""),CHAR(144),""),CHAR(157),"")</f>
        <v/>
      </c>
      <c r="EY3" s="75" t="str">
        <f t="shared" ref="EY3" si="38">SUBSTITUTE(SUBSTITUTE(SUBSTITUTE(SUBSTITUTE(SUBSTITUTE(SUBSTITUTE(CLEAN(TRIM(E3)),CHAR(127),""),CHAR(129),""),CHAR(141),""),CHAR(143),""),CHAR(144),""),CHAR(157),"")</f>
        <v/>
      </c>
      <c r="EZ3" s="75" t="str">
        <f t="shared" ref="EZ3" si="39">SUBSTITUTE(SUBSTITUTE(SUBSTITUTE(SUBSTITUTE(SUBSTITUTE(SUBSTITUTE(SUBSTITUTE(SUBSTITUTE(SUBSTITUTE(SUBSTITUTE(SUBSTITUTE(SUBSTITUTE(SUBSTITUTE(SUBSTITUTE(SUBSTITUTE(SUBSTITUTE(SUBSTITUTE(SUBSTITUTE(SUBSTITUTE(SUBSTITUTE(SUBSTITUTE(SUBSTITUTE(CLEAN(TRIM(A3)),CHAR(127),""),CHAR(129),""),CHAR(141),""),CHAR(143),""),CHAR(144),""),CHAR(157),"")," ",""),"/",""),"\",""),"-",""),"_",""),"+",""),"(",""),"(",""),"""",""),"'",""),"#",""),"&amp;",""),".",""),",",""),"&lt;",""),"&gt;","")</f>
        <v/>
      </c>
      <c r="FA3" s="75" t="str">
        <f t="shared" ref="FA3" si="40">SUBSTITUTE(SUBSTITUTE(SUBSTITUTE(SUBSTITUTE(SUBSTITUTE(SUBSTITUTE(SUBSTITUTE(SUBSTITUTE(SUBSTITUTE(SUBSTITUTE(SUBSTITUTE(SUBSTITUTE(SUBSTITUTE(SUBSTITUTE(SUBSTITUTE(SUBSTITUTE(SUBSTITUTE(SUBSTITUTE(SUBSTITUTE(SUBSTITUTE(SUBSTITUTE(SUBSTITUTE(CLEAN(TRIM(P3)),CHAR(127),""),CHAR(129),""),CHAR(141),""),CHAR(143),""),CHAR(144),""),CHAR(157),"")," ",""),"/",""),"\",""),"-",""),"_",""),"+",""),"(",""),"(",""),"""",""),"'",""),"#",""),"&amp;",""),".",""),",",""),"&lt;",""),"&gt;","")</f>
        <v/>
      </c>
      <c r="FB3" s="75"/>
    </row>
    <row r="4" spans="1:158" s="80" customFormat="1" x14ac:dyDescent="0.2">
      <c r="A4" s="81"/>
      <c r="B4" s="81"/>
      <c r="C4" s="81"/>
      <c r="D4" s="81"/>
      <c r="E4" s="81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75"/>
      <c r="X4" s="75"/>
      <c r="Y4" s="75"/>
      <c r="Z4" s="75"/>
      <c r="AA4" s="75"/>
      <c r="AB4" s="75">
        <v>2</v>
      </c>
      <c r="AC4" s="75"/>
      <c r="AD4" s="75"/>
      <c r="AE4" s="75"/>
      <c r="AF4" s="75"/>
      <c r="AG4" s="75"/>
      <c r="AH4" s="75"/>
      <c r="AI4" s="75"/>
      <c r="AJ4" s="75"/>
      <c r="AK4" s="75"/>
      <c r="AL4" s="75"/>
      <c r="AM4" s="75"/>
      <c r="AN4" s="75"/>
      <c r="AO4" s="75" t="str">
        <f ca="1">IFERROR(_xlfn.SWITCH(COUNTIF(SageData!A:A,INDIRECT(ADDRESS(ROW(),MATCH("CSVendorAlias",$2:$2,0),4))),1,INDEX(SageData!F:F,MATCH(INDIRECT(ADDRESS(ROW(),MATCH("CSVendorAlias",$2:$2,0),4)),SageData!A:A,0)),0,"","_multiple alias lookup"),"")</f>
        <v>_multiple alias lookup</v>
      </c>
      <c r="AP4" s="75" t="str">
        <f ca="1">IFERROR(IF($B$1,_xlfn.SWITCH(COUNTIF(SageData!B:B,INDIRECT(ADDRESS(ROW(),MATCH("CSVendorAlias",$2:$2,0),4))),1,INDEX(SageData!F:F,MATCH(INDIRECT(ADDRESS(ROW(),MATCH("CSVendorAlias",$2:$2,0),4)),SageData!B:B,0)),0,"","_multiple alias lookup"),""),"")</f>
        <v>_multiple alias lookup</v>
      </c>
      <c r="AQ4" s="76" t="str">
        <f ca="1">IFERROR(IF($C$1,_xlfn.SWITCH(COUNTIF(SageData!C:C,INDIRECT(ADDRESS(ROW(),MATCH("CSVendorAlias",$2:$2,0),4))),1,INDEX(SageData!F:F,MATCH(INDIRECT(ADDRESS(ROW(),MATCH("CSVendorAlias",$2:$2,0),4)),SageData!C:C,0)),0,"","_multiple alias lookup"),""),"")</f>
        <v>_multiple alias lookup</v>
      </c>
      <c r="AR4" s="75" t="str">
        <f ca="1">IFERROR(IF($D$1,_xlfn.SWITCH(COUNTIF(SageData!D:D,INDIRECT(ADDRESS(ROW(),MATCH("CSVendorAlias",$2:$2,0),4))),1,INDEX(SageData!F:F,MATCH(INDIRECT(ADDRESS(ROW(),MATCH("CSVendorAlias",$2:$2,0),4)),SageData!D:D,0)),0,"","_multiple alias lookup"),""),"")</f>
        <v>_multiple alias lookup</v>
      </c>
      <c r="AS4" s="75" t="str">
        <f ca="1">IFERROR(IF($E$1,_xlfn.SWITCH(COUNTIF(SageData!E:E,INDIRECT(ADDRESS(ROW(),MATCH("CSVendorAlias",$2:$2,0),4))),1,INDEX(SageData!F:F,MATCH(INDIRECT(ADDRESS(ROW(),MATCH("CSVendorAlias",$2:$2,0),4)),SageData!E:E,0)),0,"","_multiple alias lookup"),""),"")</f>
        <v>_multiple alias lookup</v>
      </c>
      <c r="AT4" s="75" t="str">
        <f ca="1">IFERROR(IF(AND($B$1,INDIRECT(ADDRESS(ROW(),MATCH("CSCatalog",$2:$2,0),4))&lt;&gt;""),_xlfn.SWITCH(COUNTIF(SageData!A:A,INDIRECT(ADDRESS(ROW(),MATCH("CSCatalog",$2:$2,0),4))),1,INDEX(SageData!F:F,MATCH(INDIRECT(ADDRESS(ROW(),MATCH("CSCatalog",$2:$2,0),4)),SageData!A:A,0)),0,"","_multiple catalog lookup"),""),"")</f>
        <v/>
      </c>
      <c r="AU4" s="75" t="str">
        <f ca="1">IFERROR(IF(AND($B$1,INDIRECT(ADDRESS(ROW(),MATCH("CSCatalog",$2:$2,0),4))&lt;&gt;""),_xlfn.SWITCH(COUNTIF(SageData!B:B,INDIRECT(ADDRESS(ROW(),MATCH("CSCatalog",$2:$2,0),4))),1,INDEX(SageData!F:F,MATCH(INDIRECT(ADDRESS(ROW(),MATCH("CSCatalog",$2:$2,0),4)),SageData!B:B,0)),0,"","_multiple catalog lookup"),""),"")</f>
        <v/>
      </c>
      <c r="AV4" s="75" t="str">
        <f ca="1">IFERROR(IF(AND($B$1,$C$1,INDIRECT(ADDRESS(ROW(),MATCH("CSCatalog",$2:$2,0),4))&lt;&gt;""),_xlfn.SWITCH(COUNTIF(SageData!C:C,INDIRECT(ADDRESS(ROW(),MATCH("CSCatalog",$2:$2,0),4))),1,INDEX(SageData!F:F,MATCH(INDIRECT(ADDRESS(ROW(),MATCH("CSCatalog",$2:$2,0),4)),SageData!C:C,0)),0,"","_multiple catalog lookup"),""),"")</f>
        <v/>
      </c>
      <c r="AW4" s="75" t="str">
        <f ca="1">IFERROR(IF(AND($B$1,$D$1,INDIRECT(ADDRESS(ROW(),MATCH("CSCatalog",$2:$2,0),4))&lt;&gt;""),_xlfn.SWITCH(COUNTIF(SageData!D:D,INDIRECT(ADDRESS(ROW(),MATCH("CSCatalog",$2:$2,0),4))),1,INDEX(SageData!F:F,MATCH(INDIRECT(ADDRESS(ROW(),MATCH("CSCatalog",$2:$2,0),4)),SageData!D:D,0)),0,"","_multiple catalog lookup"),""),"")</f>
        <v/>
      </c>
      <c r="AX4" s="75" t="str">
        <f ca="1">IFERROR(IF(AND($B$1,$E$1,INDIRECT(ADDRESS(ROW(),MATCH("CSCatalog",$2:$2,0),4))&lt;&gt;""),_xlfn.SWITCH(COUNTIF(SageData!E:E,INDIRECT(ADDRESS(ROW(),MATCH("CSCatalog",$2:$2,0),4))),1,INDEX(SageData!F:F,MATCH(INDIRECT(ADDRESS(ROW(),MATCH("CSCatalog",$2:$2,0),4)),SageData!E:E,0)),0,"","_multiple catalog lookup"),""),"")</f>
        <v/>
      </c>
      <c r="AY4" s="75" t="str">
        <f ca="1">IFERROR(IF(AND($C$1,INDIRECT(ADDRESS(ROW(),MATCH("CSUPC",$2:$2,0),4))&lt;&gt;""),_xlfn.SWITCH(COUNTIF(SageData!A:A,INDIRECT(ADDRESS(ROW(),MATCH("CSUPC",$2:$2,0),4))),1,INDEX(SageData!F:F,MATCH(INDIRECT(ADDRESS(ROW(),MATCH("CSUPC",$2:$2,0),4)),SageData!A:A,0)),0,"","_multiple UPC lookup"),""),"")</f>
        <v/>
      </c>
      <c r="AZ4" s="75" t="str">
        <f ca="1">IFERROR(IF(AND($B$1,$C$1,INDIRECT(ADDRESS(ROW(),MATCH("CSUPC",$2:$2,0),4))&lt;&gt;""),_xlfn.SWITCH(COUNTIF(SageData!B:B,INDIRECT(ADDRESS(ROW(),MATCH("CSUPC",$2:$2,0),4))),1,INDEX(SageData!F:F,MATCH(INDIRECT(ADDRESS(ROW(),MATCH("CSUPC",$2:$2,0),4)),SageData!B:B,0)),0,"","_multiple UPC lookup"),""),"")</f>
        <v/>
      </c>
      <c r="BA4" s="75" t="str">
        <f ca="1">IFERROR(IF(AND($C$1,INDIRECT(ADDRESS(ROW(),MATCH("CSUPC",$2:$2,0),4))&lt;&gt;""),_xlfn.SWITCH(COUNTIF(SageData!C:C,INDIRECT(ADDRESS(ROW(),MATCH("CSUPC",$2:$2,0),4))),1,INDEX(SageData!F:F,MATCH(INDIRECT(ADDRESS(ROW(),MATCH("CSUPC",$2:$2,0),4)),SageData!C:C,0)),0,"","_multiple UPC lookup"),""),"")</f>
        <v/>
      </c>
      <c r="BB4" s="75" t="str">
        <f ca="1">IFERROR(IF(AND($C$1,$D$1,INDIRECT(ADDRESS(ROW(),MATCH("CSUPC",$2:$2,0),4))&lt;&gt;""),_xlfn.SWITCH(COUNTIF(SageData!D:D,INDIRECT(ADDRESS(ROW(),MATCH("CSUPC",$2:$2,0),4))),1,INDEX(SageData!F:F,MATCH(INDIRECT(ADDRESS(ROW(),MATCH("CSUPC",$2:$2,0),4)),SageData!D:D,0)),0,"","_multiple UPC lookup"),""),"")</f>
        <v/>
      </c>
      <c r="BC4" s="75" t="str">
        <f ca="1">IFERROR(IF(AND($C$1,$E$1,INDIRECT(ADDRESS(ROW(),MATCH("CSUPC",$2:$2,0),4))&lt;&gt;""),_xlfn.SWITCH(COUNTIF(SageData!E:E,INDIRECT(ADDRESS(ROW(),MATCH("CSUPC",$2:$2,0),4))),1,INDEX(SageData!F:F,MATCH(INDIRECT(ADDRESS(ROW(),MATCH("CSUPC",$2:$2,0),4)),SageData!E:E,0)),0,"","_multiple UPC lookup"),""),"")</f>
        <v/>
      </c>
      <c r="BD4" s="75" t="str">
        <f ca="1">IFERROR(IF(AND($D$1,INDIRECT(ADDRESS(ROW(),MATCH("CSGTIN14",$2:$2,0),4))&lt;&gt;""),_xlfn.SWITCH(COUNTIF(SageData!A:A,INDIRECT(ADDRESS(ROW(),MATCH("CSGTIN14",$2:$2,0),4))),1,INDEX(SageData!F:F,MATCH(INDIRECT(ADDRESS(ROW(),MATCH("CSGTIN14",$2:$2,0),4)),SageData!A:A,0)),0,"","_multiple GTIN lookup"),""),"")</f>
        <v/>
      </c>
      <c r="BE4" s="75" t="str">
        <f ca="1">IFERROR(IF(AND($B$1,$D$1,INDIRECT(ADDRESS(ROW(),MATCH("CSGTIN14",$2:$2,0),4))&lt;&gt;""),_xlfn.SWITCH(COUNTIF(SageData!B:B,INDIRECT(ADDRESS(ROW(),MATCH("CSGTIN14",$2:$2,0),4))),1,INDEX(SageData!F:F,MATCH(INDIRECT(ADDRESS(ROW(),MATCH("CSGTIN14",$2:$2,0),4)),SageData!B:B,0)),0,"","_multiple GTIN lookup"),""),"")</f>
        <v/>
      </c>
      <c r="BF4" s="75" t="str">
        <f ca="1">IFERROR(IF(AND($C$1,$D$1,INDIRECT(ADDRESS(ROW(),MATCH("CSGTIN14",$2:$2,0),4))&lt;&gt;""),_xlfn.SWITCH(COUNTIF(SageData!C:C,INDIRECT(ADDRESS(ROW(),MATCH("CSGTIN14",$2:$2,0),4))),1,INDEX(SageData!F:F,MATCH(INDIRECT(ADDRESS(ROW(),MATCH("CSGTIN14",$2:$2,0),4)),SageData!C:C,0)),0,"","_multiple GTIN lookup"),""),"")</f>
        <v/>
      </c>
      <c r="BG4" s="75" t="str">
        <f ca="1">IFERROR(IF(AND($D$1,INDIRECT(ADDRESS(ROW(),MATCH("CSGTIN14",$2:$2,0),4))&lt;&gt;""),_xlfn.SWITCH(COUNTIF(SageData!D:D,INDIRECT(ADDRESS(ROW(),MATCH("CSGTIN14",$2:$2,0),4))),1,INDEX(SageData!F:F,MATCH(INDIRECT(ADDRESS(ROW(),MATCH("CSGTIN14",$2:$2,0),4)),SageData!D:D,0)),0,"","_multiple GTIN lookup"),""),"")</f>
        <v/>
      </c>
      <c r="BH4" s="75" t="str">
        <f ca="1">IFERROR(IF(AND($D$1,$E$1,INDIRECT(ADDRESS(ROW(),MATCH("CSGTIN14",$2:$2,0),4))&lt;&gt;""),_xlfn.SWITCH(COUNTIF(SageData!E:E,INDIRECT(ADDRESS(ROW(),MATCH("CSGTIN14",$2:$2,0),4))),1,INDEX(SageData!F:F,MATCH(INDIRECT(ADDRESS(ROW(),MATCH("CSGTIN14",$2:$2,0),4)),SageData!E:E,0)),0,"","_multiple GTIN lookup"),""),"")</f>
        <v/>
      </c>
      <c r="BI4" s="75" t="str">
        <f ca="1">IFERROR(IF(AND($E$1,INDIRECT(ADDRESS(ROW(),MATCH("CSModel",$2:$2,0),4))&lt;&gt;""),_xlfn.SWITCH(COUNTIF(SageData!A:A,INDIRECT(ADDRESS(ROW(),MATCH("CSModel",$2:$2,0),4))),1,INDEX(SageData!F:F,MATCH(INDIRECT(ADDRESS(ROW(),MATCH("CSModel",$2:$2,0),4)),SageData!A:A,0)),0,"","_multiple Model lookup"),""),"")</f>
        <v/>
      </c>
      <c r="BJ4" s="75" t="str">
        <f ca="1">IFERROR(IF(AND($B$1,$E$1,INDIRECT(ADDRESS(ROW(),MATCH("CSModel",$2:$2,0),4))&lt;&gt;""),_xlfn.SWITCH(COUNTIF(SageData!B:B,INDIRECT(ADDRESS(ROW(),MATCH("CSModel",$2:$2,0),4))),1,INDEX(SageData!F:F,MATCH(INDIRECT(ADDRESS(ROW(),MATCH("CSModel",$2:$2,0),4)),SageData!B:B,0)),0,"","_multiple Model lookup"),""),"")</f>
        <v/>
      </c>
      <c r="BK4" s="75" t="str">
        <f ca="1">IFERROR(IF(AND($C$1,$E$1,INDIRECT(ADDRESS(ROW(),MATCH("CSModel",$2:$2,0),4))&lt;&gt;""),_xlfn.SWITCH(COUNTIF(SageData!C:C,INDIRECT(ADDRESS(ROW(),MATCH("CSModel",$2:$2,0),4))),1,INDEX(SageData!F:F,MATCH(INDIRECT(ADDRESS(ROW(),MATCH("CSModel",$2:$2,0),4)),SageData!C:C,0)),0,"","_multiple Model lookup"),""),"")</f>
        <v/>
      </c>
      <c r="BL4" s="75" t="str">
        <f ca="1">IFERROR(IF(AND($D$1,$E$1,INDIRECT(ADDRESS(ROW(),MATCH("CSModel",$2:$2,0),4))&lt;&gt;""),_xlfn.SWITCH(COUNTIF(SageData!D:D,INDIRECT(ADDRESS(ROW(),MATCH("CSModel",$2:$2,0),4))),1,INDEX(SageData!F:F,MATCH(INDIRECT(ADDRESS(ROW(),MATCH("CSModel",$2:$2,0),4)),SageData!D:D,0)),0,"","_multiple Model lookup"),""),"")</f>
        <v/>
      </c>
      <c r="BM4" s="75" t="str">
        <f ca="1">IFERROR(IF(AND($E$1,INDIRECT(ADDRESS(ROW(),MATCH("CSModel",$2:$2,0),4))&lt;&gt;""),_xlfn.SWITCH(COUNTIF(SageData!E:E,INDIRECT(ADDRESS(ROW(),MATCH("CSModel",$2:$2,0),4))),1,INDEX(SageData!F:F,MATCH(INDIRECT(ADDRESS(ROW(),MATCH("CSModel",$2:$2,0),4)),SageData!E:E,0)),0,"","_multiple Model lookup"),""),"")</f>
        <v/>
      </c>
      <c r="BN4" s="75" t="str">
        <f ca="1">IFERROR(IF($E$1,_xlfn.SWITCH(COUNTIF(SageData!A:A,INDIRECT(ADDRESS(ROW(),MATCH("CSStrippedAlias",$2:$2,0),4))),1,INDEX(SageData!F:F,MATCH(INDIRECT(ADDRESS(ROW(),MATCH("CSStrippedAlias",$2:$2,0),4)),SageData!A:A,0)),0,"","_multiple lookup"),""),"")</f>
        <v>_multiple lookup</v>
      </c>
      <c r="BO4" s="75" t="str">
        <f ca="1">IFERROR(IF(AND($B$1,$E$1),_xlfn.SWITCH(COUNTIF(SageData!B:B,INDIRECT(ADDRESS(ROW(),MATCH("CSStrippedAlias",$2:$2,0),4))),1,INDEX(SageData!F:F,MATCH(INDIRECT(ADDRESS(ROW(),MATCH("CSStrippedAlias",$2:$2,0),4)),SageData!B:B,0)),0,"","_multiple lookup"),""),"")</f>
        <v>_multiple lookup</v>
      </c>
      <c r="BP4" s="75" t="str">
        <f ca="1">IFERROR(IF(AND($C$1,$E$1),_xlfn.SWITCH(COUNTIF(SageData!C:C,INDIRECT(ADDRESS(ROW(),MATCH("CSStrippedAlias",$2:$2,0),4))),1,INDEX(SageData!F:F,MATCH(INDIRECT(ADDRESS(ROW(),MATCH("CSStrippedAlias",$2:$2,0),4)),SageData!C:C,0)),0,"","_multiple lookup"),""),"")</f>
        <v>_multiple lookup</v>
      </c>
      <c r="BQ4" s="75" t="str">
        <f ca="1">IFERROR(IF(AND($D$1,$E$1),_xlfn.SWITCH(COUNTIF(SageData!D:D,INDIRECT(ADDRESS(ROW(),MATCH("CSStrippedAlias",$2:$2,0),4))),1,INDEX(SageData!F:F,MATCH(INDIRECT(ADDRESS(ROW(),MATCH("CSStrippedAlias",$2:$2,0),4)),SageData!D:D,0)),0,"","_multiple lookup"),""),"")</f>
        <v>_multiple lookup</v>
      </c>
      <c r="BR4" s="75" t="str">
        <f ca="1">IFERROR(IF($E$1,_xlfn.SWITCH(COUNTIF(SageData!E:E,INDIRECT(ADDRESS(ROW(),MATCH("CSStrippedAlias",$2:$2,0),4))),1,INDEX(SageData!F:F,MATCH(INDIRECT(ADDRESS(ROW(),MATCH("CSStrippedAlias",$2:$2,0),4)),SageData!E:E,0)),0,"","_multiple lookup"),""),"")</f>
        <v>_multiple lookup</v>
      </c>
      <c r="BS4" s="75" t="str">
        <f ca="1">IFERROR(IF($E$1,_xlfn.SWITCH(COUNTIF(SageData!F:F,INDIRECT(ADDRESS(ROW(),MATCH("CSStrippedAlias",$2:$2,0),4))),1,INDEX(SageData!F:F,MATCH(INDIRECT(ADDRESS(ROW(),MATCH("CSStrippedAlias",$2:$2,0),4)),SageData!F:F,0)),0,"","_multiple lookup"),""),"")</f>
        <v>_multiple lookup</v>
      </c>
      <c r="BT4" s="75" t="str">
        <f>IF(A4="","",IF(AN4&lt;&gt;"",AN4,IF(AND(AO4="",AP4="",AQ4="",AR4="",AS4="",AT4="",AU4="",AV4="",AW4="",AX4="",AY4="",AZ4="",BA4="",BB4="",BC4="",BD4="",BE4="",BF4="",BG4="",BH4="",BI4="",BJ4="",BK4="",BL4="",BM4="",BN4="",BO4="",BP4="",BQ4="",BR4="",BS4=""),IF(J4="","_new item","__Don't Build"),IF(SUMPRODUCT((AO4:BS4&lt;&gt;"")/COUNTIF(AO4:BS4,AO4:BS4&amp;""))=1,IF(AO4&gt;"",AO4,IF(AP4&gt;"",AP4,IF(AQ4&gt;"",AQ4,IF(AR4&gt;"",AR4,IF(AS4&gt;"",AS4,IF(AT4&gt;"",AT4,IF(AU4&gt;"",AU4,IF(AV4&gt;"",AV4,IF(AW4&gt;"",AW4,IF(AX4&gt;"",AX4,IF(AY4&gt;"",AY4,IF(AZ4&gt;"",AZ4,IF(BA4&gt;"",BA4,IF(BB4&gt;"",BB4,IF(BC4&gt;"",BC4,IF(BD4&gt;"",BD4,IF(BE4&gt;"",BE4,IF(BF4&gt;"",BF4,IF(BG4&gt;"",BG4,IF(BH4&gt;"",BH4,IF(BI4&gt;"",BI4,IF(BJ4&gt;"",BJ4,IF(BK4&gt;"",BK4,IF(BL4&gt;"",BL4,IF(BM4&gt;"",BM4,IF(BN4&gt;"",BN4,IF(BO4&gt;"",BO4,IF(BP4&gt;"",BP4,IF(BQ4&gt;"",BQ4,IF(BR4&gt;"",BR4,IF(BS4&gt;"",BS4,"___Something went wrong"))))))))))))))))))))))))))))))),"__Conflict"))))</f>
        <v/>
      </c>
      <c r="BU4" s="75" t="str">
        <f>IF(IFERROR(INDEX(SageData!A:A,MATCH(BT4,SageData!F:F,0)),0)=0,"",(IFERROR(INDEX(SageData!A:A,MATCH(BT4,SageData!F:F,0)),"")))</f>
        <v/>
      </c>
      <c r="BV4" s="75" t="str">
        <f>IF(IFERROR(INDEX(SageData!B:B,MATCH(BT4,SageData!F:F,0)),0)=0,"",(IFERROR(INDEX(SageData!B:B,MATCH(BT4,SageData!F:F,0)),"")))</f>
        <v/>
      </c>
      <c r="BW4" s="75" t="str">
        <f>IF(IFERROR(INDEX(SageData!C:C,MATCH(BT4,SageData!F:F,0)),0)=0,"",(IFERROR(INDEX(SageData!C:C,MATCH(BT4,SageData!F:F,0)),"")))</f>
        <v/>
      </c>
      <c r="BX4" s="75" t="str">
        <f>IF(IFERROR(INDEX(SageData!D:D,MATCH(BT4,SageData!F:F,0)),0)=0,"",(IFERROR(INDEX(SageData!D:D,MATCH(BT4,SageData!F:F,0)),"")))</f>
        <v/>
      </c>
      <c r="BY4" s="75" t="str">
        <f>IF(IFERROR(INDEX(SageData!E:E,MATCH(BT4,SageData!F:F,0)),0)=0,"",(IFERROR(INDEX(SageData!E:E,MATCH(BT4,SageData!F:F,0)),"")))</f>
        <v/>
      </c>
      <c r="BZ4" s="75" t="str">
        <f>IF(IFERROR(INDEX(SageData!AD:AD,MATCH(BT4,SageData!F:F,0)),0)=0,"",(IFERROR(INDEX(SageData!AD:AD,MATCH(BT4,SageData!F:F,0)),"")))</f>
        <v/>
      </c>
      <c r="CA4" s="75" t="str">
        <f>IF(IFERROR(INDEX(SageData!P:P,MATCH(BT4,SageData!F:F,0)),0)=0,"",(IFERROR(INDEX(SageData!P:P,MATCH(BT4,SageData!F:F,0)),"")))</f>
        <v/>
      </c>
      <c r="CB4" s="75" t="str">
        <f>IF(IFERROR(INDEX(SageData!Y:Y,MATCH(BT4,SageData!F:F,0)),0)=0,"",(IFERROR(INDEX(SageData!Y:Y,MATCH(BT4,SageData!F:F,0)),"")))</f>
        <v/>
      </c>
      <c r="CC4" s="75" t="str">
        <f>IF(IFERROR(INDEX(SageData!X:X,MATCH(BT4,SageData!F:F,0)),0)=0,"",(IFERROR(INDEX(SageData!X:X,MATCH(BT4,SageData!F:F,0)),"")))</f>
        <v/>
      </c>
      <c r="CD4" s="75" t="str">
        <f>IF(IFERROR(INDEX(SageData!W:W,MATCH(BT4,SageData!F:F,0)),0)=0,"",(IFERROR(INDEX(SageData!W:W,MATCH(BT4,SageData!F:F,0)),"")))</f>
        <v/>
      </c>
      <c r="CE4" s="75" t="str">
        <f>IF(IFERROR(INDEX(SageData!N:N,MATCH(BT4,SageData!F:F,0)),0)=0,"",(IFERROR(INDEX(SageData!N:N,MATCH(BT4,SageData!F:F,0)),"")))</f>
        <v/>
      </c>
      <c r="CF4" s="75" t="str">
        <f>IF(IFERROR(INDEX(SageData!O:O,MATCH(BT4,SageData!F:F,0)),0)=0,"",(IFERROR(INDEX(SageData!O:O,MATCH(BT4,SageData!F:F,0)),"")))</f>
        <v/>
      </c>
      <c r="CG4" s="75" t="str">
        <f>IF(IFERROR(INDEX(SageData!Q:Q,MATCH(BT4,SageData!F:F,0)),0)=0,"",(IFERROR(INDEX(SageData!Q:Q,MATCH(BT4,SageData!F:F,0)),"")))</f>
        <v/>
      </c>
      <c r="CH4" s="75" t="str">
        <f>IF(IFERROR(INDEX(SageData!R:R,MATCH(BT4,SageData!F:F,0)),0)=0,"",(IFERROR(INDEX(SageData!R:R,MATCH(BT4,SageData!F:F,0)),"")))</f>
        <v/>
      </c>
      <c r="CI4" s="75" t="str">
        <f>IF(IFERROR(INDEX(SageData!AB:AB,MATCH(BT4,SageData!F:F,0)),0)=0,"",(IFERROR(INDEX(SageData!AB:AB,MATCH(BT4,SageData!F:F,0)),"")))</f>
        <v/>
      </c>
      <c r="CJ4" s="75" t="str">
        <f>IF(IFERROR(INDEX(SageData!U:U,MATCH(BT4,SageData!F:F,0)),0)=0,"",(IFERROR(INDEX(SageData!U:U,MATCH(BT4,SageData!F:F,0)),"")))</f>
        <v/>
      </c>
      <c r="CK4" s="75" t="str">
        <f>IF(IFERROR(INDEX(SageData!S:S,MATCH(BT4,SageData!F:F,0)),0)=0,"",(IFERROR(INDEX(SageData!S:S,MATCH(BT4,SageData!F:F,0)),"")))</f>
        <v/>
      </c>
      <c r="CL4" s="75" t="str">
        <f>IF(IFERROR(INDEX(SageData!AI:AI,MATCH(BT4,SageData!F:F,0)),0)=0,"",(IFERROR(INDEX(SageData!AI:AI,MATCH(BT4,SageData!F:F,0)),"")))</f>
        <v/>
      </c>
      <c r="CM4" s="75" t="str">
        <f>IF(IFERROR(INDEX(SageData!AK:AK,MATCH(BT4,SageData!F:F,0)),0)=0,"",(IFERROR(INDEX(SageData!AK:AK,MATCH(BT4,SageData!F:F,0)),"")))</f>
        <v/>
      </c>
      <c r="CN4" s="75" t="str">
        <f>IFERROR(INDEX(SageData!G:G,MATCH(BT4,SageData!F:F,0)),"")</f>
        <v/>
      </c>
      <c r="CO4" s="75" t="str">
        <f>IF(IFERROR(INDEX(SageData!AJ:AJ,MATCH(BT4,SageData!F:F,0)),0)=0,"",(IFERROR(INDEX(SageData!AJ:AJ,MATCH(BT4,SageData!F:F,0)),"")))</f>
        <v/>
      </c>
      <c r="CP4" s="75" t="str">
        <f>IF(IFERROR(INDEX(SageData!AL:AL,MATCH(BT4,SageData!F:F,0)),0)=0,"",(IFERROR(INDEX(SageData!AL:AL,MATCH(BT4,SageData!F:F,0)),"")))</f>
        <v/>
      </c>
      <c r="CQ4" s="75" t="str">
        <f>IF(OR(BT4="__Don't Build",A4=""),"",IF(OR(COUNTIF(A:A,A4)&gt;1,IF($B$1,COUNTIF(B:B,B4)&gt;1),IF($C$1,COUNTIF(C:C,C4)&gt;1),IF($D$1,COUNTIF(D:D,D4)&gt;1),IF($E$1,COUNTIF(E:E,E4)&gt;1)),"Duplicate Identifer","")&amp;IF(SUM(G4:I4)=0,"",IFERROR(IF(AND(VALUE(G4)&lt;VALUE(I4),ISBLANK(H4)),"",IF(OR(AND(I4&gt;G4,H4&lt;=I4),G4&gt;H4,H4&gt;I4),"","Vendor Cost/Price Review")),""))&amp;IFERROR(IF(ROUND(DB4,2)&gt;=0.1,"","Low Margin"),"")&amp;IFERROR(IF(AND(ROUND(G4,2)=G4,ROUND(H4,2)=H4,ROUND(I4,2)=I4),"","Round Prices"),"")&amp;IF(BT4&lt;&gt;"_new item",IF(IFERROR(ABS(CR4),0)&gt;0.15,"Wild Cost Change",""),"")&amp;IF(SUM(G4:I4)=0,"",IF(ISNUMBER(DA4),"","Needs Price")))&amp;IFERROR(IF(AND(DO4&lt;&gt;"",_xlfn.NUMBERVALUE(DO4)&gt;_xlfn.NUMBERVALUE(DA4)),"GSA Price",""),"")</f>
        <v/>
      </c>
      <c r="CR4" s="82" t="str">
        <f t="shared" ref="CR4" si="41">IF(OR(G4="",DC4=""),"",IF(BT4="_new item","",(G4-DC4)/DC4))</f>
        <v/>
      </c>
      <c r="CS4" s="82" t="str">
        <f t="shared" ref="CS4" si="42">IF(AND(H4="",DD4=""),"",IF(AND(H4&lt;&gt;"",DD4=0),"New",IF(AND(DD4&gt;0,H4=""),"Kill",IF(BT4="_new item","",IF(AND(H4="",DD4=0),"",(H4-DD4)/DD4)))))</f>
        <v/>
      </c>
      <c r="CT4" s="82" t="str">
        <f t="shared" ref="CT4" si="43">IF(OR(I4="",DE4=""),"",IF(BT4="_new item","",(I4-DE4)/DE4))</f>
        <v/>
      </c>
      <c r="CU4" s="82" t="str">
        <f t="shared" ref="CU4" si="44">IF(ISBLANK(H4),"",(H4-G4)/H4)</f>
        <v/>
      </c>
      <c r="CV4" s="82" t="str">
        <f t="shared" ref="CV4" si="45">IF(ISBLANK(I4),"",(I4-G4)/I4)</f>
        <v/>
      </c>
      <c r="CW4" s="82" t="str">
        <f t="shared" ref="CW4" si="46">IFERROR(IF(BT4="_new item","",CV4-DS4),"")</f>
        <v/>
      </c>
      <c r="CX4" s="75" t="str">
        <f t="shared" ref="CX4" si="47">IFERROR(ROUND(DQ4*(DF4-DC4),2),"")</f>
        <v/>
      </c>
      <c r="CY4" s="77"/>
      <c r="CZ4" s="77"/>
      <c r="DA4" s="77" t="str">
        <f t="shared" ref="DA4" si="48">IF(I4="","",IF(CY4&lt;&gt;"",CY4,IF(CZ4&lt;&gt;"",ROUND(G4/(1-CZ4),2),IF(DI4="Y","ONclearance",IF(BT4="_new item",IF(G4&lt;=29.6,I4,IF(H4="",I4,H4)),IF(ABS(CW4)&gt;0.005,"DiscountChange",ROUND(IF(AND(DF4=DD4,H4&gt;0),H4,IF(DF4=DE4,I4,IF((I4*(DF4/DE4)&lt;H4),H4,(I4*(DF4/DE4))))),2)))))))</f>
        <v/>
      </c>
      <c r="DB4" s="82" t="str">
        <f t="shared" ref="DB4" si="49">IF(G4="","",IF(ISNUMBER(DA4),(DA4-G4)/DA4,""))</f>
        <v/>
      </c>
      <c r="DC4" s="75" t="str">
        <f>IFERROR(INDEX(SageData!I:I,MATCH(BT4,SageData!F:F,0)),"")</f>
        <v/>
      </c>
      <c r="DD4" s="75" t="str">
        <f>IFERROR(INDEX(SageData!L:L,MATCH(BT4,SageData!F:F,0)),"")</f>
        <v/>
      </c>
      <c r="DE4" s="75" t="str">
        <f>IFERROR(INDEX(SageData!K:K,MATCH(BT4,SageData!F:F,0)),"")</f>
        <v/>
      </c>
      <c r="DF4" s="75" t="str">
        <f>IFERROR(INDEX(SageData!J:J,MATCH(BT4,SageData!F:F,0)),"")</f>
        <v/>
      </c>
      <c r="DG4" s="82" t="str">
        <f t="shared" ref="DG4" si="50">IFERROR(IF(BT4="_new item","",(DF4-DC4)/DF4),"")</f>
        <v/>
      </c>
      <c r="DH4" s="78" t="str">
        <f>IF(IFERROR(INDEX(SageData!M:M,MATCH(BT4,SageData!F:F,0)),0)=0,"",(IFERROR(INDEX(SageData!M:M,MATCH(BT4,SageData!F:F,0)),"")))</f>
        <v/>
      </c>
      <c r="DI4" s="75" t="str">
        <f>IF(IFERROR(INDEX(SageData!V:V,MATCH(BT4,SageData!F:F,0)),0)=0,"",(IFERROR(INDEX(SageData!V:V,MATCH(BT4,SageData!F:F,0)),"")))</f>
        <v/>
      </c>
      <c r="DJ4" s="78" t="str">
        <f>IF(IFERROR(INDEX(SageData!Z:Z,MATCH(BT4,SageData!F:F,0)),0)=0,"",(IFERROR(INDEX(SageData!Z:Z,MATCH(BT4,SageData!F:F,0)),"")))</f>
        <v/>
      </c>
      <c r="DK4" s="75" t="str">
        <f>IF(IFERROR(INDEX(SageData!AA:AA,MATCH(BT4,SageData!F:F,0)),0)=0,"",(IFERROR(INDEX(SageData!AA:AA,MATCH(BT4,SageData!F:F,0)),"")))</f>
        <v/>
      </c>
      <c r="DL4" s="78" t="str">
        <f>IF(IFERROR(INDEX(SageData!AC:AC,MATCH(BT4,SageData!F:F,0)),0)=0,"",(IFERROR(INDEX(SageData!AC:AC,MATCH(BT4,SageData!F:F,0)),"")))</f>
        <v/>
      </c>
      <c r="DM4" s="77" t="str">
        <f t="shared" ref="DM4" si="51">IFERROR(IF(BT4="_new item","",(DD4-DC4)/DD4),"")</f>
        <v/>
      </c>
      <c r="DN4" s="79" t="str">
        <f>IF(IFERROR(INDEX(SageData!AG:AG,MATCH(BT4,SageData!F:F,0)),0)=0,"",(IFERROR(INDEX(SageData!AG:AG,MATCH(BT4,SageData!F:F,0)),"")))</f>
        <v/>
      </c>
      <c r="DO4" s="77" t="str">
        <f>IF(IFERROR(INDEX(SageData!AH:AH,MATCH(BT4,SageData!E:E,0)),0)=0,"",(IFERROR(INDEX(SageData!AH:AH,MATCH(BT4,SageData!E:E,0)),"")))</f>
        <v/>
      </c>
      <c r="DP4" s="77" t="str">
        <f>IF(IFERROR(INDEX(SageData!AE:AE,MATCH(BT4,SageData!F:F,0)),0)=0,"",(IFERROR(INDEX(SageData!AE:AE,MATCH(BT4,SageData!F:F,0)),"")))</f>
        <v/>
      </c>
      <c r="DQ4" s="75" t="str">
        <f>IF(IFERROR(INDEX(SageData!AF:AF,MATCH(BT4,SageData!F:F,0)),0)=0,"",(IFERROR(INDEX(SageData!AF:AF,MATCH(BT4,SageData!F:F,0)),"")))</f>
        <v/>
      </c>
      <c r="DR4" s="75" t="str">
        <f t="shared" ref="DR4" si="52">IF(DP4&lt;&gt;"",DP4*G4,"")</f>
        <v/>
      </c>
      <c r="DS4" s="82" t="str">
        <f t="shared" ref="DS4" si="53">IFERROR(IF(BT4="_new item","",1-(DC4/DE4)),"")</f>
        <v/>
      </c>
      <c r="DT4" s="77"/>
      <c r="DU4" s="75" t="str">
        <f>IFERROR(IF(OR(J4&lt;&gt;"",DT4&lt;&gt;"",BT4="__Don't Build"),"",IF(INDEX(SageData!H:H,MATCH(BT4,SageData!F:F,0))="D","_revival","")),"")</f>
        <v/>
      </c>
      <c r="DV4" s="75" t="str">
        <f t="shared" ref="DV4" si="54">IFERROR(IF(OR(BT4="_new item",DT4&lt;&gt;"",BT4="__Don't Build"),"",IF(ISBLANK(A4),"",IF(BU4=EU4,"","Vendor Item Code Update"))),"Vendor Item Code Update")</f>
        <v/>
      </c>
      <c r="DW4" s="75" t="str">
        <f t="shared" ref="DW4" si="55">IFERROR(IF(OR(BT4="_new item",BT4="__Don't Build"),"",IF(ISBLANK(B4),"",IF(BV4=EV4,"","Catalog Update"))),"Catalog Update")</f>
        <v/>
      </c>
      <c r="DX4" s="75" t="str">
        <f t="shared" ref="DX4" si="56">IFERROR(IF(OR(BT4="_new item",BT4="__Don't Build"),"",IF(ISBLANK(C4),"",IF(BW4=EW4,"","UPC Update"))),"UPC Update")</f>
        <v/>
      </c>
      <c r="DY4" s="75" t="str">
        <f t="shared" ref="DY4" si="57">IFERROR(IF(OR(BT4="_new item",BT4="__Don't Build"),"",IF(ISBLANK(E4),"",IF(BX4=EX4,"","GTIN14 Update"))),"GTIN14 Update")</f>
        <v/>
      </c>
      <c r="DZ4" s="75" t="str">
        <f t="shared" ref="DZ4" si="58">IFERROR(IF(OR(BT4="_new item",BT4="__Don't Build"),"",IF(ISBLANK(E4),"",IF(BY4=EY4,"","Model Update"))),"Model Update")</f>
        <v/>
      </c>
      <c r="EA4" s="75" t="str">
        <f>IFERROR(IF(OR(BT4="_new item",BT4="__Don't Build"),"",IF(ISBLANK(Y4),"",IF(CK4=Y4,"","Product Line Update"))),"Product Line Update")</f>
        <v/>
      </c>
      <c r="EB4" s="75" t="str">
        <f t="shared" ref="EB4" si="59">IFERROR(IF(OR(BT4="_new item",BT4="__Don't Build"),"",IF(ISBLANK(V4),"",IF(CA4=V4,"","ECCN Update"))),"ECCN Update")</f>
        <v/>
      </c>
      <c r="EC4" s="75" t="str">
        <f t="shared" ref="EC4" si="60">IFERROR(IF(OR(BT4="_new item",BT4="__Don't Build"),"",IF(ISBLANK(U4),"",IF(CD4=U4,"","NSN Update"))),"NSN Update")</f>
        <v/>
      </c>
      <c r="ED4" s="75" t="str">
        <f t="shared" ref="ED4" si="61">IFERROR(IF(OR(BT4="_new item",BT4="__Don't Build"),"",IF(ISBLANK(T4),"",IF(CB4=T4,"","MOQ Update"))),"MOQ Update")</f>
        <v/>
      </c>
      <c r="EE4" s="75" t="str">
        <f t="shared" ref="EE4" si="62">IFERROR(IF(OR(BT4="_new item",BT4="__Don't Build"),"",IF(ISBLANK(W4),"",IF(CC4=W4,"","Dropship Update"))),"Dropship Update")</f>
        <v/>
      </c>
      <c r="EF4" s="75" t="str">
        <f t="shared" ref="EF4" si="63">IF(OR(BT4="_new item",BT4="__Don't Build",DT4&lt;&gt;""),"",IF(ISBLANK(O4),"",IF(CE4="","Weight Update",IF(ABS(VALUE(CE4)-VALUE(O4))&lt;=1,"",IF(ABS(VALUE(CE4)-VALUE(O4))&gt;=5,"Weight Update",IF(AND(VALUE(CE4)&lt;VALUE(O4),(VALUE(O4)-VALUE(CE4))/VALUE(O4)&gt;0.5),"Weight Update",""))))))</f>
        <v/>
      </c>
      <c r="EG4" s="75" t="str">
        <f t="shared" ref="EG4" si="64">IFERROR(IF(OR(BT4="_new item",BT4="__Don't Build"),"",IF(ISBLANK(L4),"",IF(CF4=L4,"","Country Update"))),"Country Update")</f>
        <v/>
      </c>
      <c r="EH4" s="75" t="str">
        <f>IFERROR(IF(OR(BT4="_new item",BT4="__Don't Build"),"",IF(ISBLANK(X4),"",IF(AND(X4&lt;&gt;"",CL4=""),"Special Order Update",""))),"Country Update")</f>
        <v/>
      </c>
      <c r="EI4" s="75" t="str">
        <f t="shared" ref="EI4" si="65">IFERROR(IF(OR(BT4="_new item",BT4="__Don't Build"),"",IF(ISBLANK(M4),"",IF(CG4=M4,"","Schedule B Update"))),"Schedule B Update")</f>
        <v/>
      </c>
      <c r="EJ4" s="75" t="str">
        <f t="shared" ref="EJ4" si="66">IFERROR(IF(OR(BT4="_new item",BT4="__Don't Build"),"",IF(ISBLANK(N4),"",IF(CH4=N4,"","Pack Update"))),"Pack Update")</f>
        <v/>
      </c>
      <c r="EK4" s="75" t="str">
        <f t="shared" ref="EK4" si="67">IFERROR(IF(OR(BT4="_new item",BT4="__Don't Build"),"",IF(ISBLANK(P4),"",IF(CJ4=P4,"","Replacement Update"))),"Replacement Update")</f>
        <v/>
      </c>
      <c r="EL4" s="75" t="str">
        <f t="shared" ref="EL4" si="68">IFERROR(IF(OR(BT4="_new item",BT4="__Don't Build"),"",IF(ISBLANK(K4),"",IF(AND(K4="N",CM4="Y"),"RFQ Update",IF(CM4&lt;&gt;"Y","RFQ Update","")))),"RFQ Update")</f>
        <v/>
      </c>
      <c r="EM4" s="75" t="str">
        <f t="shared" ref="EM4" si="69">DU4&amp;DV4&amp;DW4&amp;DX4&amp;DY4&amp;DZ4&amp;EA4&amp;EB4&amp;EC4&amp;ED4&amp;EE4&amp;EF4&amp;EG4&amp;EH4&amp;EI4&amp;EJ4&amp;EK4&amp;EL4</f>
        <v/>
      </c>
      <c r="EN4" s="75" t="str">
        <f t="shared" ref="EN4" si="70">IF(OR(BT4="_new item",BT4="__Don't Build",ISBLANK(G4),ISBLANK(I4)),"","price list")</f>
        <v/>
      </c>
      <c r="EO4" s="75" t="str">
        <f t="shared" ref="EO4" si="71">IFERROR(IF(ABS(CR4)&gt;0.0001,"Maggie",""),"")</f>
        <v/>
      </c>
      <c r="EP4" s="75" t="str">
        <f>IFERROR(IF(OR(ABS(CR4)&gt;0.0001,ABS(CS4)&gt;0.0001,ABS(CT4)&gt;0.0001,DA4&lt;&gt;DF4),"Johnny",""),"")</f>
        <v/>
      </c>
      <c r="EQ4" s="75">
        <f t="shared" ref="EQ4" si="72">IFERROR(_xlfn.NUMBERVALUE(DC4)-G4,"")</f>
        <v>0</v>
      </c>
      <c r="ER4" s="75" t="str">
        <f t="shared" ref="ER4" si="73">IF(AND(AE4&lt;&gt;"",BT4&lt;&gt;"__Don't Build",BT4&lt;&gt;"_new item"),"breakpoint","")</f>
        <v/>
      </c>
      <c r="ES4" s="75" t="str">
        <f t="shared" ref="ES4" si="74">IF(OR(AND(J4="",BT4&lt;&gt;"_Don't Build",NOT(ISBLANK(G4)),NOT(ISBLANK(I4)))),"priceworkbook","")</f>
        <v/>
      </c>
      <c r="ET4" s="75" t="str">
        <f t="shared" ref="ET4" si="75">SUBSTITUTE(SUBSTITUTE(SUBSTITUTE(SUBSTITUTE(SUBSTITUTE(SUBSTITUTE(CLEAN(TRIM(F4)),CHAR(127),""),CHAR(129),""),CHAR(141),""),CHAR(143),""),CHAR(144),""),CHAR(157),"")</f>
        <v/>
      </c>
      <c r="EU4" s="75" t="str">
        <f t="shared" ref="EU4" si="76">SUBSTITUTE(SUBSTITUTE(SUBSTITUTE(SUBSTITUTE(SUBSTITUTE(SUBSTITUTE(CLEAN(TRIM(A4)),CHAR(127),""),CHAR(129),""),CHAR(141),""),CHAR(143),""),CHAR(144),""),CHAR(157),"")</f>
        <v/>
      </c>
      <c r="EV4" s="75" t="str">
        <f t="shared" ref="EV4" si="77">SUBSTITUTE(SUBSTITUTE(SUBSTITUTE(SUBSTITUTE(SUBSTITUTE(SUBSTITUTE(CLEAN(TRIM(B4)),CHAR(127),""),CHAR(129),""),CHAR(141),""),CHAR(143),""),CHAR(144),""),CHAR(157),"")</f>
        <v/>
      </c>
      <c r="EW4" s="75" t="str">
        <f t="shared" ref="EW4" si="78">SUBSTITUTE(SUBSTITUTE(SUBSTITUTE(SUBSTITUTE(SUBSTITUTE(SUBSTITUTE(CLEAN(TRIM(C4)),CHAR(127),""),CHAR(129),""),CHAR(141),""),CHAR(143),""),CHAR(144),""),CHAR(157),"")</f>
        <v/>
      </c>
      <c r="EX4" s="75" t="str">
        <f t="shared" ref="EX4" si="79">SUBSTITUTE(SUBSTITUTE(SUBSTITUTE(SUBSTITUTE(SUBSTITUTE(SUBSTITUTE(CLEAN(TRIM(D4)),CHAR(127),""),CHAR(129),""),CHAR(141),""),CHAR(143),""),CHAR(144),""),CHAR(157),"")</f>
        <v/>
      </c>
      <c r="EY4" s="75" t="str">
        <f t="shared" ref="EY4" si="80">SUBSTITUTE(SUBSTITUTE(SUBSTITUTE(SUBSTITUTE(SUBSTITUTE(SUBSTITUTE(CLEAN(TRIM(E4)),CHAR(127),""),CHAR(129),""),CHAR(141),""),CHAR(143),""),CHAR(144),""),CHAR(157),"")</f>
        <v/>
      </c>
      <c r="EZ4" s="75" t="str">
        <f t="shared" ref="EZ4" si="81">SUBSTITUTE(SUBSTITUTE(SUBSTITUTE(SUBSTITUTE(SUBSTITUTE(SUBSTITUTE(SUBSTITUTE(SUBSTITUTE(SUBSTITUTE(SUBSTITUTE(SUBSTITUTE(SUBSTITUTE(SUBSTITUTE(SUBSTITUTE(SUBSTITUTE(SUBSTITUTE(SUBSTITUTE(SUBSTITUTE(SUBSTITUTE(SUBSTITUTE(SUBSTITUTE(SUBSTITUTE(CLEAN(TRIM(A4)),CHAR(127),""),CHAR(129),""),CHAR(141),""),CHAR(143),""),CHAR(144),""),CHAR(157),"")," ",""),"/",""),"\",""),"-",""),"_",""),"+",""),"(",""),"(",""),"""",""),"'",""),"#",""),"&amp;",""),".",""),",",""),"&lt;",""),"&gt;","")</f>
        <v/>
      </c>
      <c r="FA4" s="75" t="str">
        <f t="shared" ref="FA4" si="82">SUBSTITUTE(SUBSTITUTE(SUBSTITUTE(SUBSTITUTE(SUBSTITUTE(SUBSTITUTE(SUBSTITUTE(SUBSTITUTE(SUBSTITUTE(SUBSTITUTE(SUBSTITUTE(SUBSTITUTE(SUBSTITUTE(SUBSTITUTE(SUBSTITUTE(SUBSTITUTE(SUBSTITUTE(SUBSTITUTE(SUBSTITUTE(SUBSTITUTE(SUBSTITUTE(SUBSTITUTE(CLEAN(TRIM(P4)),CHAR(127),""),CHAR(129),""),CHAR(141),""),CHAR(143),""),CHAR(144),""),CHAR(157),"")," ",""),"/",""),"\",""),"-",""),"_",""),"+",""),"(",""),"(",""),"""",""),"'",""),"#",""),"&amp;",""),".",""),",",""),"&lt;",""),"&gt;","")</f>
        <v/>
      </c>
      <c r="FB4" s="75"/>
    </row>
    <row r="5" spans="1:158" s="80" customFormat="1" x14ac:dyDescent="0.2">
      <c r="A5" s="81"/>
      <c r="B5" s="81"/>
      <c r="C5" s="81"/>
      <c r="D5" s="81"/>
      <c r="E5" s="81"/>
      <c r="F5" s="75"/>
      <c r="G5" s="75"/>
      <c r="H5" s="75"/>
      <c r="I5" s="75"/>
      <c r="J5" s="75"/>
      <c r="K5" s="75"/>
      <c r="L5" s="75"/>
      <c r="M5" s="75"/>
      <c r="N5" s="75"/>
      <c r="O5" s="75"/>
      <c r="P5" s="75"/>
      <c r="Q5" s="75"/>
      <c r="R5" s="75"/>
      <c r="S5" s="75"/>
      <c r="T5" s="75"/>
      <c r="U5" s="75"/>
      <c r="V5" s="75"/>
      <c r="W5" s="75"/>
      <c r="X5" s="75"/>
      <c r="Y5" s="75"/>
      <c r="Z5" s="75"/>
      <c r="AA5" s="75"/>
      <c r="AB5" s="75"/>
      <c r="AC5" s="75"/>
      <c r="AD5" s="75"/>
      <c r="AE5" s="75"/>
      <c r="AF5" s="75"/>
      <c r="AG5" s="75"/>
      <c r="AH5" s="75"/>
      <c r="AO5" s="75"/>
      <c r="AP5" s="75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5"/>
      <c r="CD5" s="75"/>
      <c r="CE5" s="75"/>
      <c r="CF5" s="75"/>
      <c r="CG5" s="75"/>
      <c r="CH5" s="75"/>
      <c r="CI5" s="75"/>
      <c r="CJ5" s="75"/>
      <c r="CK5" s="75"/>
      <c r="CL5" s="75"/>
      <c r="CM5" s="75"/>
      <c r="CN5" s="75"/>
      <c r="CO5" s="75"/>
      <c r="CP5" s="75"/>
      <c r="CQ5" s="75"/>
      <c r="CR5" s="82"/>
      <c r="CS5" s="82"/>
      <c r="CT5" s="82"/>
      <c r="CU5" s="82"/>
      <c r="CV5" s="82"/>
      <c r="CW5" s="82"/>
      <c r="CY5" s="77"/>
      <c r="CZ5" s="77"/>
      <c r="DA5" s="77"/>
      <c r="DB5" s="82"/>
      <c r="DC5" s="75"/>
      <c r="DD5" s="75"/>
      <c r="DE5" s="75"/>
      <c r="DF5" s="75"/>
      <c r="DG5" s="82"/>
      <c r="DH5" s="78"/>
      <c r="DI5" s="75"/>
      <c r="DJ5" s="78"/>
      <c r="DK5" s="75"/>
      <c r="DL5" s="78"/>
      <c r="DM5" s="83"/>
      <c r="DN5" s="79"/>
      <c r="DO5" s="77"/>
      <c r="DP5" s="77"/>
      <c r="DQ5" s="75"/>
      <c r="DR5" s="75"/>
      <c r="DS5" s="82"/>
      <c r="DT5" s="83"/>
      <c r="DU5" s="75"/>
      <c r="DV5" s="75"/>
      <c r="EM5" s="75"/>
    </row>
    <row r="6" spans="1:158" s="80" customFormat="1" x14ac:dyDescent="0.2">
      <c r="A6" s="81"/>
      <c r="B6" s="81"/>
      <c r="C6" s="81"/>
      <c r="D6" s="81"/>
      <c r="E6" s="81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5"/>
      <c r="AC6" s="75"/>
      <c r="AD6" s="75"/>
      <c r="AE6" s="75"/>
      <c r="AF6" s="75"/>
      <c r="AG6" s="75"/>
      <c r="AH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5"/>
      <c r="BA6" s="75"/>
      <c r="BB6" s="75"/>
      <c r="BC6" s="75"/>
      <c r="BD6" s="75"/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75"/>
      <c r="BQ6" s="75"/>
      <c r="BR6" s="75"/>
      <c r="BS6" s="75"/>
      <c r="BT6" s="75"/>
      <c r="BU6" s="75"/>
      <c r="BV6" s="75"/>
      <c r="BW6" s="75"/>
      <c r="BX6" s="75"/>
      <c r="BY6" s="75"/>
      <c r="BZ6" s="75"/>
      <c r="CA6" s="75"/>
      <c r="CB6" s="75"/>
      <c r="CC6" s="75"/>
      <c r="CD6" s="75"/>
      <c r="CE6" s="75"/>
      <c r="CF6" s="75"/>
      <c r="CG6" s="75"/>
      <c r="CH6" s="75"/>
      <c r="CI6" s="75"/>
      <c r="CJ6" s="75"/>
      <c r="CK6" s="75"/>
      <c r="CL6" s="75"/>
      <c r="CM6" s="75"/>
      <c r="CN6" s="75"/>
      <c r="CO6" s="75"/>
      <c r="CP6" s="75"/>
      <c r="CQ6" s="75"/>
      <c r="CR6" s="82"/>
      <c r="CS6" s="82"/>
      <c r="CT6" s="82"/>
      <c r="CU6" s="82"/>
      <c r="CV6" s="82"/>
      <c r="CW6" s="82"/>
      <c r="CY6" s="77"/>
      <c r="CZ6" s="77"/>
      <c r="DA6" s="77"/>
      <c r="DB6" s="82"/>
      <c r="DC6" s="75"/>
      <c r="DD6" s="75"/>
      <c r="DE6" s="75"/>
      <c r="DF6" s="75"/>
      <c r="DG6" s="82"/>
      <c r="DH6" s="78"/>
      <c r="DI6" s="75"/>
      <c r="DJ6" s="78"/>
      <c r="DK6" s="75"/>
      <c r="DL6" s="78"/>
      <c r="DM6" s="83"/>
      <c r="DN6" s="79"/>
      <c r="DO6" s="77"/>
      <c r="DP6" s="77"/>
      <c r="DQ6" s="75"/>
      <c r="DR6" s="75"/>
      <c r="DS6" s="82"/>
      <c r="DT6" s="83"/>
      <c r="DU6" s="75"/>
      <c r="DV6" s="75"/>
      <c r="EM6" s="75"/>
    </row>
  </sheetData>
  <autoFilter ref="A2:FB2" xr:uid="{00000000-0009-0000-0000-000001000000}"/>
  <mergeCells count="1">
    <mergeCell ref="Q1:R1"/>
  </mergeCells>
  <conditionalFormatting sqref="C1:C1048576">
    <cfRule type="duplicateValues" dxfId="10" priority="29"/>
  </conditionalFormatting>
  <conditionalFormatting sqref="D1:D1048576">
    <cfRule type="duplicateValues" dxfId="9" priority="28"/>
  </conditionalFormatting>
  <conditionalFormatting sqref="E1:E1048576">
    <cfRule type="duplicateValues" dxfId="8" priority="27"/>
  </conditionalFormatting>
  <conditionalFormatting sqref="B1:B1048576">
    <cfRule type="duplicateValues" dxfId="7" priority="5"/>
  </conditionalFormatting>
  <conditionalFormatting sqref="CX1:CX1048576">
    <cfRule type="colorScale" priority="4">
      <colorScale>
        <cfvo type="min"/>
        <cfvo type="max"/>
        <color theme="0"/>
        <color rgb="FF63BE7B"/>
      </colorScale>
    </cfRule>
  </conditionalFormatting>
  <conditionalFormatting sqref="BT1:BT1048576">
    <cfRule type="duplicateValues" dxfId="6" priority="3"/>
  </conditionalFormatting>
  <conditionalFormatting sqref="A1">
    <cfRule type="duplicateValues" dxfId="5" priority="75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lfills" altText="CallFills">
                <anchor moveWithCells="1" sizeWithCells="1">
                  <from>
                    <xdr:col>22</xdr:col>
                    <xdr:colOff>9525</xdr:colOff>
                    <xdr:row>0</xdr:row>
                    <xdr:rowOff>0</xdr:rowOff>
                  </from>
                  <to>
                    <xdr:col>23</xdr:col>
                    <xdr:colOff>485775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QLandSort">
                <anchor moveWithCells="1" sizeWithCells="1">
                  <from>
                    <xdr:col>25</xdr:col>
                    <xdr:colOff>19050</xdr:colOff>
                    <xdr:row>0</xdr:row>
                    <xdr:rowOff>19050</xdr:rowOff>
                  </from>
                  <to>
                    <xdr:col>26</xdr:col>
                    <xdr:colOff>457200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priceListDescriptionReturn">
                <anchor moveWithCells="1" sizeWithCells="1">
                  <from>
                    <xdr:col>19</xdr:col>
                    <xdr:colOff>9525</xdr:colOff>
                    <xdr:row>0</xdr:row>
                    <xdr:rowOff>0</xdr:rowOff>
                  </from>
                  <to>
                    <xdr:col>20</xdr:col>
                    <xdr:colOff>447675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4" id="{9BC4F0BC-2806-4B36-B7C9-03327710F5A0}">
            <x14:iconSet iconSet="3Triangles">
              <x14:cfvo type="percent">
                <xm:f>0</xm:f>
              </x14:cfvo>
              <x14:cfvo type="num">
                <xm:f>-5.0000000000000001E-3</xm:f>
              </x14:cfvo>
              <x14:cfvo type="num">
                <xm:f>5.0000000000000001E-3</xm:f>
              </x14:cfvo>
            </x14:iconSet>
          </x14:cfRule>
          <xm:sqref>CW1:CW1048576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92D050"/>
  </sheetPr>
  <dimension ref="A1:CC2"/>
  <sheetViews>
    <sheetView topLeftCell="C1" zoomScale="70" zoomScaleNormal="70" workbookViewId="0">
      <pane ySplit="1" topLeftCell="A2" activePane="bottomLeft" state="frozen"/>
      <selection activeCell="J19" sqref="J19"/>
      <selection pane="bottomLeft" activeCell="C2" sqref="C2"/>
    </sheetView>
  </sheetViews>
  <sheetFormatPr defaultColWidth="9.140625" defaultRowHeight="12" outlineLevelCol="1" x14ac:dyDescent="0.2"/>
  <cols>
    <col min="1" max="5" width="8.7109375" style="3" customWidth="1"/>
    <col min="6" max="6" width="8.5703125" style="3" customWidth="1"/>
    <col min="7" max="7" width="17" style="3" customWidth="1"/>
    <col min="8" max="12" width="8.5703125" style="3" customWidth="1"/>
    <col min="13" max="13" width="8.5703125" style="5" customWidth="1"/>
    <col min="14" max="20" width="8.5703125" style="3" customWidth="1"/>
    <col min="21" max="25" width="4.85546875" style="3" customWidth="1"/>
    <col min="26" max="26" width="8.5703125" style="5" customWidth="1"/>
    <col min="27" max="28" width="8.5703125" style="3" customWidth="1"/>
    <col min="29" max="29" width="8.5703125" style="5" customWidth="1"/>
    <col min="30" max="32" width="8.5703125" style="3" customWidth="1"/>
    <col min="33" max="33" width="10.7109375" style="3" customWidth="1"/>
    <col min="34" max="34" width="8.5703125" style="2" customWidth="1"/>
    <col min="35" max="36" width="8.5703125" style="3" customWidth="1"/>
    <col min="37" max="38" width="8.5703125" style="2" customWidth="1"/>
    <col min="39" max="45" width="8.5703125" style="2" hidden="1" customWidth="1" outlineLevel="1"/>
    <col min="46" max="46" width="15.42578125" style="1" customWidth="1" collapsed="1"/>
    <col min="47" max="77" width="7.85546875" style="1" hidden="1" customWidth="1" outlineLevel="1"/>
    <col min="78" max="78" width="10.42578125" style="1" customWidth="1" collapsed="1"/>
    <col min="79" max="79" width="6.42578125" style="1" customWidth="1"/>
    <col min="80" max="80" width="5" style="1" customWidth="1"/>
    <col min="81" max="81" width="4.42578125" style="2" customWidth="1"/>
    <col min="82" max="82" width="3.5703125" style="1" customWidth="1"/>
    <col min="83" max="16384" width="9.140625" style="1"/>
  </cols>
  <sheetData>
    <row r="1" spans="1:81" customFormat="1" ht="30" customHeight="1" x14ac:dyDescent="0.25">
      <c r="A1" s="34" t="s">
        <v>0</v>
      </c>
      <c r="B1" s="34" t="s">
        <v>9</v>
      </c>
      <c r="C1" s="34" t="s">
        <v>11</v>
      </c>
      <c r="D1" s="34" t="s">
        <v>16</v>
      </c>
      <c r="E1" s="34" t="s">
        <v>119</v>
      </c>
      <c r="F1" s="34" t="s">
        <v>1</v>
      </c>
      <c r="G1" s="34" t="s">
        <v>2</v>
      </c>
      <c r="H1" s="34" t="s">
        <v>4</v>
      </c>
      <c r="I1" s="34" t="s">
        <v>5</v>
      </c>
      <c r="J1" s="34" t="s">
        <v>6</v>
      </c>
      <c r="K1" s="34" t="s">
        <v>7</v>
      </c>
      <c r="L1" s="34" t="s">
        <v>8</v>
      </c>
      <c r="M1" s="35" t="s">
        <v>10</v>
      </c>
      <c r="N1" s="34" t="s">
        <v>15</v>
      </c>
      <c r="O1" s="34" t="s">
        <v>12</v>
      </c>
      <c r="P1" s="34" t="s">
        <v>13</v>
      </c>
      <c r="Q1" s="34" t="s">
        <v>14</v>
      </c>
      <c r="R1" s="34" t="s">
        <v>23</v>
      </c>
      <c r="S1" s="34" t="s">
        <v>3</v>
      </c>
      <c r="T1" s="34" t="s">
        <v>17</v>
      </c>
      <c r="U1" s="34" t="s">
        <v>120</v>
      </c>
      <c r="V1" s="34" t="s">
        <v>87</v>
      </c>
      <c r="W1" s="34" t="s">
        <v>121</v>
      </c>
      <c r="X1" s="34" t="s">
        <v>135</v>
      </c>
      <c r="Y1" s="34" t="s">
        <v>122</v>
      </c>
      <c r="Z1" s="35" t="s">
        <v>136</v>
      </c>
      <c r="AA1" s="34" t="s">
        <v>123</v>
      </c>
      <c r="AB1" s="34" t="s">
        <v>124</v>
      </c>
      <c r="AC1" s="35" t="s">
        <v>140</v>
      </c>
      <c r="AD1" s="34" t="s">
        <v>142</v>
      </c>
      <c r="AE1" s="34" t="s">
        <v>147</v>
      </c>
      <c r="AF1" s="34" t="s">
        <v>152</v>
      </c>
      <c r="AG1" s="35" t="s">
        <v>660</v>
      </c>
      <c r="AH1" s="45" t="s">
        <v>670</v>
      </c>
      <c r="AI1" s="35" t="s">
        <v>679</v>
      </c>
      <c r="AJ1" s="45" t="s">
        <v>691</v>
      </c>
      <c r="AK1" s="45" t="s">
        <v>695</v>
      </c>
      <c r="AL1" s="45" t="s">
        <v>699</v>
      </c>
      <c r="AM1" s="45" t="s">
        <v>706</v>
      </c>
      <c r="AN1" s="45" t="s">
        <v>707</v>
      </c>
      <c r="AO1" s="45" t="s">
        <v>708</v>
      </c>
      <c r="AP1" s="45" t="s">
        <v>709</v>
      </c>
      <c r="AQ1" s="45" t="s">
        <v>710</v>
      </c>
      <c r="AR1" s="45" t="s">
        <v>711</v>
      </c>
      <c r="AS1" s="45" t="s">
        <v>712</v>
      </c>
      <c r="AT1" s="11" t="s">
        <v>680</v>
      </c>
      <c r="AU1" s="11" t="s">
        <v>26</v>
      </c>
      <c r="AV1" s="11" t="s">
        <v>25</v>
      </c>
      <c r="AW1" s="11" t="s">
        <v>27</v>
      </c>
      <c r="AX1" s="11" t="s">
        <v>28</v>
      </c>
      <c r="AY1" s="11" t="s">
        <v>65</v>
      </c>
      <c r="AZ1" s="11" t="s">
        <v>29</v>
      </c>
      <c r="BA1" s="11" t="s">
        <v>30</v>
      </c>
      <c r="BB1" s="11" t="s">
        <v>31</v>
      </c>
      <c r="BC1" s="11" t="s">
        <v>32</v>
      </c>
      <c r="BD1" s="11" t="s">
        <v>66</v>
      </c>
      <c r="BE1" s="11" t="s">
        <v>33</v>
      </c>
      <c r="BF1" s="11" t="s">
        <v>34</v>
      </c>
      <c r="BG1" s="11" t="s">
        <v>24</v>
      </c>
      <c r="BH1" s="11" t="s">
        <v>35</v>
      </c>
      <c r="BI1" s="11" t="s">
        <v>67</v>
      </c>
      <c r="BJ1" s="11" t="s">
        <v>36</v>
      </c>
      <c r="BK1" s="11" t="s">
        <v>37</v>
      </c>
      <c r="BL1" s="11" t="s">
        <v>38</v>
      </c>
      <c r="BM1" s="11" t="s">
        <v>45</v>
      </c>
      <c r="BN1" s="11" t="s">
        <v>68</v>
      </c>
      <c r="BO1" s="11" t="s">
        <v>69</v>
      </c>
      <c r="BP1" s="11" t="s">
        <v>70</v>
      </c>
      <c r="BQ1" s="11" t="s">
        <v>71</v>
      </c>
      <c r="BR1" s="11" t="s">
        <v>72</v>
      </c>
      <c r="BS1" s="11" t="s">
        <v>73</v>
      </c>
      <c r="BT1" s="11" t="s">
        <v>672</v>
      </c>
      <c r="BU1" s="11" t="s">
        <v>673</v>
      </c>
      <c r="BV1" s="11" t="s">
        <v>674</v>
      </c>
      <c r="BW1" s="11" t="s">
        <v>675</v>
      </c>
      <c r="BX1" s="11" t="s">
        <v>676</v>
      </c>
      <c r="BY1" s="11" t="s">
        <v>689</v>
      </c>
      <c r="BZ1" s="11" t="s">
        <v>690</v>
      </c>
      <c r="CA1" s="11" t="s">
        <v>78</v>
      </c>
      <c r="CB1" s="11" t="s">
        <v>53</v>
      </c>
      <c r="CC1" s="11" t="s">
        <v>44</v>
      </c>
    </row>
    <row r="2" spans="1:81" ht="10.5" customHeight="1" x14ac:dyDescent="0.2">
      <c r="AG2" s="5"/>
      <c r="AT2" s="2" t="str">
        <f t="shared" ref="AT2" si="0">IF(CB2&lt;&gt;"",IF(H2="F","__Disco",""),IF(AND(H2="F",CA2=""),"_VendorInquiry",IF(CA2&lt;&gt;"",CA2,"")))</f>
        <v/>
      </c>
      <c r="AU2" s="2" t="str">
        <f>_xlfn.SWITCH(COUNTIF(VendorData!$EU:$EU,$A2),1,INDEX(VendorData!EU:EU,MATCH(A2,VendorData!EU:EU,0)),0,"","___multiple lookups")</f>
        <v/>
      </c>
      <c r="AV2" s="2" t="str">
        <f>_xlfn.SWITCH(COUNTIF(VendorData!EV:EV,A2),1,INDEX(VendorData!EU:EU,MATCH(A2,VendorData!EV:EV,0)),0,"","___multiple lookups")</f>
        <v/>
      </c>
      <c r="AW2" s="2" t="str">
        <f>_xlfn.SWITCH(COUNTIF(VendorData!EW:EW,A2),1,INDEX(VendorData!EU:EU,MATCH(A2,VendorData!EW:EW,0)),0,"","___multiple lookups")</f>
        <v/>
      </c>
      <c r="AX2" s="2" t="str">
        <f>_xlfn.SWITCH(COUNTIF(VendorData!EX:EX,A2),1,INDEX(VendorData!EU:EU,MATCH(A2,VendorData!EX:EX,0)),0,"","___multiple lookups")</f>
        <v/>
      </c>
      <c r="AY2" s="2" t="str">
        <f>_xlfn.SWITCH(COUNTIF(VendorData!EY:EY,A2),1,INDEX(VendorData!EU:EU,MATCH(A2,VendorData!EY:EY,0)),0,"","___multiple lookups")</f>
        <v/>
      </c>
      <c r="AZ2" s="2" t="str">
        <f>IF(VendorData!$B$1,IF($B2="","",_xlfn.SWITCH(COUNTIF(VendorData!$EU:$EU,$B2),1,INDEX(VendorData!$EU:$EU,MATCH($B2,VendorData!$EU:$EU,0)),0,"","___multiple lookups")),"")</f>
        <v/>
      </c>
      <c r="BA2" s="2" t="str">
        <f>IF(VendorData!$B$1,IF($B2="","",_xlfn.SWITCH(COUNTIF(VendorData!$EV:$EV,$B2),1,INDEX(VendorData!$EU:$EU,MATCH($B2,VendorData!$EV:$EV,0)),0,"","___multiple lookups")),"")</f>
        <v/>
      </c>
      <c r="BB2" s="2" t="str">
        <f>IF(VendorData!$B$1,IF($B2="","",_xlfn.SWITCH(COUNTIF(VendorData!$EW:$EW,$B2),1,INDEX(VendorData!$EU:$EU,MATCH($B2,VendorData!$EW:$EW,0)),0,"","___multiple lookups")),"")</f>
        <v/>
      </c>
      <c r="BC2" s="2" t="str">
        <f>IF(VendorData!$B$1,IF(B$2="","",_xlfn.SWITCH(COUNTIF(VendorData!$EX:$EX,$B2),1,INDEX(VendorData!$EU:$EU,MATCH($B2,VendorData!$EX:$EX,0)),0,"","___multiple lookups")),"")</f>
        <v/>
      </c>
      <c r="BD2" s="2" t="str">
        <f>IF(VendorData!$B$1,IF($B2="","",_xlfn.SWITCH(COUNTIF(VendorData!$EY:$EY,$B2),1,INDEX(VendorData!$EU:$EU,MATCH($B2,VendorData!$EY:$EY,0)),0,"","___multiple lookups")),"")</f>
        <v/>
      </c>
      <c r="BE2" s="2" t="str">
        <f>IF(VendorData!$C$1,IF($C2="","",_xlfn.SWITCH(COUNTIF(VendorData!$EU:$EU,$C2),1,INDEX(VendorData!$EU:$EU,MATCH($C2,VendorData!$EU:$EU,0)),0,"","___multiple lookups")),"")</f>
        <v/>
      </c>
      <c r="BF2" s="2" t="str">
        <f>IF(VendorData!$C$1,IF($C2="","",_xlfn.SWITCH(COUNTIF(VendorData!$EV:$EV,$C2),1,INDEX(VendorData!$EU:$EU,MATCH($C2,VendorData!$EV:$EV,0)),0,"","___multiple lookups")),"")</f>
        <v/>
      </c>
      <c r="BG2" s="2" t="str">
        <f>IF(VendorData!$C$1,IF($C2="","",_xlfn.SWITCH(COUNTIF(VendorData!$EW:$EW,$C2),1,INDEX(VendorData!$EU:$EU,MATCH($C2,VendorData!$EW:$EW,0)),0,"","___multiple lookups")),"")</f>
        <v/>
      </c>
      <c r="BH2" s="2" t="str">
        <f>IF(VendorData!$C$1,IF($C2="","",_xlfn.SWITCH(COUNTIF(VendorData!$EX:$EX,$C2),1,INDEX(VendorData!$EU:$EU,MATCH($C2,VendorData!$EX:$EX,0)),0,"","___multiple lookups")),"")</f>
        <v/>
      </c>
      <c r="BI2" s="2" t="str">
        <f>IF(VendorData!$C$1,IF($C2="","",_xlfn.SWITCH(COUNTIF(VendorData!$EY:$EY,$C2),1,INDEX(VendorData!$EU:$EU,MATCH($C2,VendorData!$EY:$EY,0)),0,"","___multiple lookups")),"")</f>
        <v/>
      </c>
      <c r="BJ2" s="2" t="str">
        <f>IF(VendorData!$D$1,IF($D2="","",_xlfn.SWITCH(COUNTIF(VendorData!$EU:$EU,$D2),1,INDEX(VendorData!$EU:$EU,MATCH($D2,VendorData!$EU:$EU,0)),0,"","___multiple lookups")),"")</f>
        <v/>
      </c>
      <c r="BK2" s="2" t="str">
        <f>IF(VendorData!$D$1,IF($D2="","",_xlfn.SWITCH(COUNTIF(VendorData!$EV:$EV,$D2),1,INDEX(VendorData!$EU:$EU,MATCH($D2,VendorData!$EV:$EV,0)),0,"","___multiple lookups")),"")</f>
        <v/>
      </c>
      <c r="BL2" s="2" t="str">
        <f>IF(VendorData!$D$1,IF($D2="","",_xlfn.SWITCH(COUNTIF(VendorData!$EW:$EW,$D2),1,INDEX(VendorData!$EU:$EU,MATCH($D2,VendorData!$EW:$EW,0)),0,"","___multiple lookups")),"")</f>
        <v/>
      </c>
      <c r="BM2" s="2" t="str">
        <f>IF(VendorData!$D$1,IF($D2="","",_xlfn.SWITCH(COUNTIF(VendorData!$EX:$EX,$D2),1,INDEX(VendorData!$EU:$EU,MATCH($D2,VendorData!$EX:$EX,0)),0,"","___multiple lookups")),"")</f>
        <v/>
      </c>
      <c r="BN2" s="2" t="str">
        <f>IF(VendorData!$D$1,IF($D2="","",_xlfn.SWITCH(COUNTIF(VendorData!$EY:$EY,$D2),1,INDEX(VendorData!$EU:$EU,MATCH($D2,VendorData!$EY:$EY,0)),0,"","___multiple lookups")),"")</f>
        <v/>
      </c>
      <c r="BO2" s="2" t="str">
        <f>IF(VendorData!$E$1,IF($E2="","",_xlfn.SWITCH(COUNTIF(VendorData!$EU:$EU,$E2),1,INDEX(VendorData!$EU:$EU,MATCH($E2,VendorData!$EU:$EU,0)),0,"","___multiple lookups")),"")</f>
        <v/>
      </c>
      <c r="BP2" s="2" t="str">
        <f>IF(VendorData!$E$1,IF($E2="","",_xlfn.SWITCH(COUNTIF(VendorData!$EV:$EV,$E2),1,INDEX(VendorData!$EU:$EU,MATCH($E2,VendorData!$EV:$EV,0)),0,"","___multiple lookups")),"")</f>
        <v/>
      </c>
      <c r="BQ2" s="2" t="str">
        <f>IF(VendorData!$E$1,IF($E2="","",_xlfn.SWITCH(COUNTIF(VendorData!$EW:$EW,$E2),1,INDEX(VendorData!$EU:$EU,MATCH($E2,VendorData!$EW:$EW,0)),0,"","___multiple lookups")),"")</f>
        <v/>
      </c>
      <c r="BR2" s="2" t="str">
        <f>IF(VendorData!$E$1,IF($E2="","",_xlfn.SWITCH(COUNTIF(VendorData!$EX:$EX,$E2),1,INDEX(VendorData!$EU:$EU,MATCH($E2,VendorData!$EX:$EX,0)),0,"","___multiple lookups")),"")</f>
        <v/>
      </c>
      <c r="BS2" s="2" t="str">
        <f>IF(VendorData!$E$1,IF($E2="","",_xlfn.SWITCH(COUNTIF(VendorData!$EY:$EY,$E2),1,INDEX(VendorData!$EU:$EU,MATCH($E2,VendorData!$EY:$EY,0)),0,"","___multiple lookups")),"")</f>
        <v/>
      </c>
      <c r="BT2" s="2" t="str">
        <f>IF($BY2="","",_xlfn.SWITCH(COUNTIF(VendorData!$EU:$EU,$BY2),1,INDEX(VendorData!$EU:$EU,MATCH($BY2,VendorData!$EU:$EU,0)),0,"","___multiple lookups"))</f>
        <v/>
      </c>
      <c r="BU2" s="2" t="str">
        <f>IF($BY2="","",_xlfn.SWITCH(COUNTIF(VendorData!$EV:$EV,$BY2),1,INDEX(VendorData!$EU:$EU,MATCH($BY2,VendorData!$EV:$EV,0)),0,"","___multiple lookups"))</f>
        <v/>
      </c>
      <c r="BV2" s="2" t="str">
        <f>IF($BY2="","",_xlfn.SWITCH(COUNTIF(VendorData!$EW:$EW,$BY2),1,INDEX(VendorData!$EU:$EU,MATCH($BY2,VendorData!$EW:$EW,0)),0,"","___multiple lookups"))</f>
        <v/>
      </c>
      <c r="BW2" s="2" t="str">
        <f>IF($BY2="","",_xlfn.SWITCH(COUNTIF(VendorData!$EX:$EX,$BY2),1,INDEX(VendorData!$EU:$EU,MATCH($BY2,VendorData!$EX:$EX,0)),0,"","___multiple lookups"))</f>
        <v/>
      </c>
      <c r="BX2" s="2" t="str">
        <f>IF($BY2="","",_xlfn.SWITCH(COUNTIF(VendorData!$EY:$EY,$BY2),1,INDEX(VendorData!$EU:$EU,MATCH($BY2,VendorData!$EY:$EY,0)),0,"","___multiple lookups"))</f>
        <v/>
      </c>
      <c r="BY2" s="2" t="str">
        <f t="shared" ref="BY2" si="1">SUBSTITUTE(SUBSTITUTE(SUBSTITUTE(SUBSTITUTE(SUBSTITUTE(SUBSTITUTE(SUBSTITUTE(SUBSTITUTE(SUBSTITUTE(SUBSTITUTE(SUBSTITUTE(SUBSTITUTE(SUBSTITUTE(SUBSTITUTE(SUBSTITUTE(SUBSTITUTE(SUBSTITUTE(SUBSTITUTE(SUBSTITUTE(SUBSTITUTE(SUBSTITUTE(SUBSTITUTE(CLEAN(TRIM(A2)),CHAR(127),""),CHAR(129),""),CHAR(141),""),CHAR(143),""),CHAR(144),""),CHAR(157),"")," ",""),"/",""),"\",""),"-",""),"_",""),"+",""),"(",""),"(",""),"""",""),"'",""),"#",""),"&amp;",""),".",""),",",""),"&lt;",""),"&gt;","")</f>
        <v/>
      </c>
      <c r="BZ2" s="2" t="str">
        <f>IFERROR(IF(INDEX(VendorData!A:A,MATCH(F2,VendorData!AN:AN,0))&lt;&gt;"",INDEX(VendorData!A:A,MATCH(F2,VendorData!AN:AN,0)),""),"")</f>
        <v/>
      </c>
      <c r="CA2" s="2" t="str">
        <f t="shared" ref="CA2" si="2">IF(BZ2&lt;&gt;"",BZ2,IF(SUMPRODUCT((AU2:BX2&lt;&gt;"")/COUNTIF(AU2:BX2,AU2:BX2&amp;""))=1,IF(AU2&lt;&gt;"",AU2,IF(AV2&lt;&gt;"",AV2,IF(AW2&lt;&gt;"",AW2,IF(AX2&lt;&gt;"",AX2,IF(AY2&lt;&gt;"",AY2,IF(AZ2&lt;&gt;"",AZ2,IF(BA2&lt;&gt;"",BA2,IF(BB2&lt;&gt;"",BB2,IF(BC2&lt;&gt;"",BC2,IF(BD2&lt;&gt;"",BD2,IF(BE2&lt;&gt;"",BE2,IF(BF2&lt;&gt;"",BF2,IF(BG2&lt;&gt;"",BG2,IF(BH2&lt;&gt;"",BH2,IF(BI2&lt;&gt;"",BI2,IF(BJ2&lt;&gt;"",BJ2,IF(BK2&lt;&gt;"",BK2,IF(BL2&lt;&gt;"",BL2,IF(BM2&lt;&gt;"",BM2,IF(BN2&lt;&gt;"",BN2,IF(BO2&lt;&gt;"",BO2,IF(BP2&lt;&gt;"",BP2,IF(BQ2&lt;&gt;"",BQ2,IF(BR2&lt;&gt;"",BR2,IF(BS2&lt;&gt;"",BS2,IF(BT2&lt;&gt;"",BT2,IF(BU2&lt;&gt;"",BU2,IF(BV2&lt;&gt;"",BV2,IF(BW2&lt;&gt;"",BW2,IF(BX2&lt;&gt;"",BX2,"Something went wrong")))))))))))))))))))))))))))))),IF(SUMPRODUCT((AU2:BX2&lt;&gt;"")/COUNTIF(AU2:BX2,AU2:BX2&amp;""))=0,"","___Conflict")))</f>
        <v/>
      </c>
      <c r="CB2" s="2" t="str">
        <f>IFERROR(IF(INDEX(VendorData!J:J,MATCH(F2,VendorData!BT:BT,0))="","","Disco"),"")</f>
        <v/>
      </c>
    </row>
  </sheetData>
  <autoFilter ref="A1:CC2" xr:uid="{00000000-0009-0000-0000-000002000000}">
    <sortState xmlns:xlrd2="http://schemas.microsoft.com/office/spreadsheetml/2017/richdata2" ref="A2:CC2">
      <sortCondition descending="1" ref="AT2"/>
    </sortState>
  </autoFilter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C1:C1048576">
    <cfRule type="duplicateValues" dxfId="2" priority="3"/>
  </conditionalFormatting>
  <conditionalFormatting sqref="D1:D1048576">
    <cfRule type="duplicateValues" dxfId="1" priority="2"/>
  </conditionalFormatting>
  <conditionalFormatting sqref="E1:E1048576">
    <cfRule type="duplicateValues" dxfId="0" priority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A4E443-FCAC-489E-B559-508488EFBD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_ProdLineTable</vt:lpstr>
      <vt:lpstr>VendorData</vt:lpstr>
      <vt:lpstr>SageData</vt:lpstr>
    </vt:vector>
  </TitlesOfParts>
  <Company>Fotronic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Tryon</dc:creator>
  <cp:lastModifiedBy>Andrew Tryon</cp:lastModifiedBy>
  <dcterms:created xsi:type="dcterms:W3CDTF">2016-11-07T20:04:27Z</dcterms:created>
  <dcterms:modified xsi:type="dcterms:W3CDTF">2019-12-02T19:27:32Z</dcterms:modified>
</cp:coreProperties>
</file>